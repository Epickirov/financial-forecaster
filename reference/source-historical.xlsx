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280" windowHeight="4007" activeTab="3"/>
  </bookViews>
  <sheets>
    <sheet name="新25年新历销售" sheetId="25" r:id="rId1"/>
    <sheet name="新25年农历销售" sheetId="27" r:id="rId2"/>
    <sheet name="26年新历销售" sheetId="23" r:id="rId3"/>
    <sheet name="26年农历销售" sheetId="26" r:id="rId4"/>
    <sheet name="进货验货报告" sheetId="20" r:id="rId5"/>
    <sheet name="26数据" sheetId="24" r:id="rId6"/>
    <sheet name="生产" sheetId="8" r:id="rId7"/>
    <sheet name="24年农历销售" sheetId="2" r:id="rId8"/>
    <sheet name="24年新历销售" sheetId="6" r:id="rId9"/>
    <sheet name="25年新历销售" sheetId="4" r:id="rId10"/>
    <sheet name="25年农历销售" sheetId="21" r:id="rId11"/>
    <sheet name="25年淘汰" sheetId="19" r:id="rId12"/>
    <sheet name="26年淘汰" sheetId="29" r:id="rId13"/>
    <sheet name="24年淘汰" sheetId="5" r:id="rId14"/>
    <sheet name="22年淘汰" sheetId="11" r:id="rId15"/>
    <sheet name="23年淘汰" sheetId="10" r:id="rId16"/>
    <sheet name="24年销售" sheetId="16" r:id="rId17"/>
    <sheet name="2025年淘汰" sheetId="22" r:id="rId18"/>
    <sheet name="2026年淘汰" sheetId="28" r:id="rId19"/>
  </sheets>
  <definedNames>
    <definedName name="_xlnm._FilterDatabase" localSheetId="4" hidden="1">进货验货报告!$A$1:$U$1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3" authorId="0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7月份小街入催67843株，砚山入催25679株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13" authorId="0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7月份小街入催67843株，砚山入催25679株
</t>
        </r>
      </text>
    </comment>
  </commentList>
</comments>
</file>

<file path=xl/sharedStrings.xml><?xml version="1.0" encoding="utf-8"?>
<sst xmlns="http://schemas.openxmlformats.org/spreadsheetml/2006/main" count="1119" uniqueCount="232">
  <si>
    <t>2025年（新历）昆明统一生物蝴蝶兰销售数量统计</t>
  </si>
  <si>
    <t>月份</t>
  </si>
  <si>
    <t>小街基地</t>
  </si>
  <si>
    <t>斗南门市</t>
  </si>
  <si>
    <t>两处平均单价（花）</t>
  </si>
  <si>
    <t>砚山基地</t>
  </si>
  <si>
    <t>染色花</t>
  </si>
  <si>
    <t>合计发货数量</t>
  </si>
  <si>
    <t>合计发货金额</t>
  </si>
  <si>
    <t>切花合计发货数量</t>
  </si>
  <si>
    <t>切花合计发货金额</t>
  </si>
  <si>
    <t>国内数量</t>
  </si>
  <si>
    <t>金额</t>
  </si>
  <si>
    <t>国外</t>
  </si>
  <si>
    <t>小街销售数量合计</t>
  </si>
  <si>
    <t>金额合计</t>
  </si>
  <si>
    <t>小街平均单价（花）</t>
  </si>
  <si>
    <t>斗南销售数量</t>
  </si>
  <si>
    <t>斗南销售金额</t>
  </si>
  <si>
    <t>斗南平均单价</t>
  </si>
  <si>
    <t>砚山销售数量</t>
  </si>
  <si>
    <t>砚山销售金额</t>
  </si>
  <si>
    <t>砚山平均单价</t>
  </si>
  <si>
    <t>染色花销售数量</t>
  </si>
  <si>
    <t>染色花销售金额</t>
  </si>
  <si>
    <t>染色花平均单价</t>
  </si>
  <si>
    <t>小花</t>
  </si>
  <si>
    <t>大花</t>
  </si>
  <si>
    <t>小</t>
  </si>
  <si>
    <t>大</t>
  </si>
  <si>
    <t>小苗数量</t>
  </si>
  <si>
    <t>中苗数量</t>
  </si>
  <si>
    <t>大苗数量</t>
  </si>
  <si>
    <t>俄罗斯数量</t>
  </si>
  <si>
    <t>国外数量</t>
  </si>
  <si>
    <t>国外金额</t>
  </si>
  <si>
    <t>1月</t>
  </si>
  <si>
    <t>2月</t>
  </si>
  <si>
    <t>3月</t>
  </si>
  <si>
    <t>4月</t>
  </si>
  <si>
    <t>5月</t>
  </si>
  <si>
    <t>7800</t>
  </si>
  <si>
    <t>5.26-6.10</t>
  </si>
  <si>
    <t>合计</t>
  </si>
  <si>
    <t>2025年（农历）昆明统一生物蝴蝶兰销售数量统计</t>
  </si>
  <si>
    <t>1.29-2.25</t>
  </si>
  <si>
    <t>2026年（新历）昆明统一生物蝴蝶兰销售数量统计</t>
  </si>
  <si>
    <t>2026年（农历）昆明统一生物蝴蝶兰销售数量统计</t>
  </si>
  <si>
    <t>2.17-2.25</t>
  </si>
  <si>
    <t>批号</t>
  </si>
  <si>
    <t>入库基地</t>
  </si>
  <si>
    <t>进货来源</t>
  </si>
  <si>
    <t>到货日期</t>
  </si>
  <si>
    <r>
      <rPr>
        <b/>
        <sz val="14"/>
        <rFont val="宋体"/>
        <charset val="134"/>
      </rPr>
      <t>1</t>
    </r>
    <r>
      <rPr>
        <b/>
        <sz val="14"/>
        <rFont val="宋体"/>
        <charset val="134"/>
      </rPr>
      <t>.7</t>
    </r>
    <r>
      <rPr>
        <b/>
        <sz val="14"/>
        <rFont val="宋体"/>
        <charset val="134"/>
      </rPr>
      <t>数量</t>
    </r>
  </si>
  <si>
    <r>
      <rPr>
        <b/>
        <sz val="14"/>
        <rFont val="宋体"/>
        <charset val="134"/>
      </rPr>
      <t>1</t>
    </r>
    <r>
      <rPr>
        <b/>
        <sz val="14"/>
        <rFont val="宋体"/>
        <charset val="134"/>
      </rPr>
      <t>.7</t>
    </r>
    <r>
      <rPr>
        <b/>
        <sz val="14"/>
        <rFont val="宋体"/>
        <charset val="134"/>
      </rPr>
      <t>金额</t>
    </r>
  </si>
  <si>
    <t>2.5寸数量</t>
  </si>
  <si>
    <t>2.5寸金额</t>
  </si>
  <si>
    <t>3数量</t>
  </si>
  <si>
    <t>3金额</t>
  </si>
  <si>
    <t>3.5数量</t>
  </si>
  <si>
    <t>3.5金额</t>
  </si>
  <si>
    <t>3.8数量</t>
  </si>
  <si>
    <t>3.8金额</t>
  </si>
  <si>
    <t>2.8数量</t>
  </si>
  <si>
    <t>2.8金额</t>
  </si>
  <si>
    <t>总数量</t>
  </si>
  <si>
    <t>总金额</t>
  </si>
  <si>
    <t>备注</t>
  </si>
  <si>
    <t>运费</t>
  </si>
  <si>
    <t>IQ-26057</t>
  </si>
  <si>
    <t>小街</t>
  </si>
  <si>
    <t>生辉</t>
  </si>
  <si>
    <t>2026.5.28</t>
  </si>
  <si>
    <t>IQ-26058</t>
  </si>
  <si>
    <t>佳彩</t>
  </si>
  <si>
    <t>IQ-26059</t>
  </si>
  <si>
    <t>2026.6.2</t>
  </si>
  <si>
    <t>IQ-26060</t>
  </si>
  <si>
    <t>绿枫</t>
  </si>
  <si>
    <t>2026.6.4</t>
  </si>
  <si>
    <t>IQ-26061</t>
  </si>
  <si>
    <t>2026.6.7</t>
  </si>
  <si>
    <t>总计</t>
  </si>
  <si>
    <t>苗</t>
  </si>
  <si>
    <t>长松园</t>
  </si>
  <si>
    <t>开花株</t>
  </si>
  <si>
    <t>8号棚</t>
  </si>
  <si>
    <t>本月5.26-6.10发货</t>
  </si>
  <si>
    <t>上月4.26-5.10发货</t>
  </si>
  <si>
    <t>种类</t>
  </si>
  <si>
    <t>数量（株）</t>
  </si>
  <si>
    <t>金额（元）</t>
  </si>
  <si>
    <t>平均单价</t>
  </si>
  <si>
    <t>国外（2.8/3寸）</t>
  </si>
  <si>
    <t>国外（3.5寸）</t>
  </si>
  <si>
    <t>国内小街（2.8/3寸）</t>
  </si>
  <si>
    <t>国内小街（3.5寸）</t>
  </si>
  <si>
    <t>斗南（2.8/3寸）</t>
  </si>
  <si>
    <t>斗南（3.5/3.8寸）</t>
  </si>
  <si>
    <t>砚山（2.8/3寸）</t>
  </si>
  <si>
    <t>砚山（3.5/3.8寸）</t>
  </si>
  <si>
    <t>染色花（2.8寸）</t>
  </si>
  <si>
    <t>染色花（3.0寸）</t>
  </si>
  <si>
    <t>染色花（3.5/3.8寸）</t>
  </si>
  <si>
    <t>切花</t>
  </si>
  <si>
    <t>开花株小计</t>
  </si>
  <si>
    <t>6月同比5月</t>
  </si>
  <si>
    <t>多（株）</t>
  </si>
  <si>
    <t>多（元）</t>
  </si>
  <si>
    <t>苗多</t>
  </si>
  <si>
    <t>小街多</t>
  </si>
  <si>
    <t>斗南</t>
  </si>
  <si>
    <t>2026年新历1月-6.10发货</t>
  </si>
  <si>
    <t>截止5.25小花平均单价</t>
  </si>
  <si>
    <t>2025年新历1月-6.10发货</t>
  </si>
  <si>
    <t>小花同比上周</t>
  </si>
  <si>
    <t>截止5.25大花平均单价</t>
  </si>
  <si>
    <t>同比2025年</t>
  </si>
  <si>
    <t>大花同比上周</t>
  </si>
  <si>
    <t>26年同比25年</t>
  </si>
  <si>
    <t>苗多（株）</t>
  </si>
  <si>
    <t>国外多（
株）</t>
  </si>
  <si>
    <t>小街（株）</t>
  </si>
  <si>
    <t>斗南（株）</t>
  </si>
  <si>
    <t>26年俄（株）</t>
  </si>
  <si>
    <t>26年俄（元）</t>
  </si>
  <si>
    <t>2026年农历2.17-6.10发货</t>
  </si>
  <si>
    <t>2025年农历1.29-6.10发货</t>
  </si>
  <si>
    <t>26年农历同比25年农历</t>
  </si>
  <si>
    <t>国外多（株）</t>
  </si>
  <si>
    <t>进货验货报告（日期：5.26-6.10）</t>
  </si>
  <si>
    <t>砚山进货验货报告（日期：2.26-3.4）</t>
  </si>
  <si>
    <t>小苗</t>
  </si>
  <si>
    <t>中苗</t>
  </si>
  <si>
    <t>大苗</t>
  </si>
  <si>
    <t>代养中苗</t>
  </si>
  <si>
    <t>代养大苗</t>
  </si>
  <si>
    <t>小花运费</t>
  </si>
  <si>
    <t>总体平均单价</t>
  </si>
  <si>
    <t>开花株运费</t>
  </si>
  <si>
    <t>大花运费</t>
  </si>
  <si>
    <t>中苗运费</t>
  </si>
  <si>
    <t>大苗运费</t>
  </si>
  <si>
    <t>代养中苗运费</t>
  </si>
  <si>
    <t>代养大苗运费</t>
  </si>
  <si>
    <t>5.26-6.10发货</t>
  </si>
  <si>
    <t>数量</t>
  </si>
  <si>
    <t>占比</t>
  </si>
  <si>
    <t>外调</t>
  </si>
  <si>
    <t>792株</t>
  </si>
  <si>
    <t>占总发货数量</t>
  </si>
  <si>
    <t>BC级株</t>
  </si>
  <si>
    <t>非外调</t>
  </si>
  <si>
    <t>29599株</t>
  </si>
  <si>
    <t>BC级5435株</t>
  </si>
  <si>
    <t>2024年（农历）昆明统一生物蝴蝶兰销售数量统计</t>
  </si>
  <si>
    <t>开花株数量</t>
  </si>
  <si>
    <t>2.9-2.25</t>
  </si>
  <si>
    <t>6月</t>
  </si>
  <si>
    <t>7月</t>
  </si>
  <si>
    <t>8月</t>
  </si>
  <si>
    <t>9月</t>
  </si>
  <si>
    <t>10月</t>
  </si>
  <si>
    <t>11月</t>
  </si>
  <si>
    <t>12月</t>
  </si>
  <si>
    <t>2024年（新历）昆明统一生物蝴蝶兰销售数量统计</t>
  </si>
  <si>
    <t>11月迪拜运费</t>
  </si>
  <si>
    <t>迪拜运费</t>
  </si>
  <si>
    <t>8320</t>
  </si>
  <si>
    <t>210699.5</t>
  </si>
  <si>
    <t>1.26-2.16</t>
  </si>
  <si>
    <r>
      <t>2025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</si>
  <si>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t>小街实际期初数</t>
  </si>
  <si>
    <t>购入数</t>
  </si>
  <si>
    <r>
      <t>销售</t>
    </r>
    <r>
      <rPr>
        <sz val="12"/>
        <color theme="1"/>
        <rFont val="宋体"/>
        <charset val="134"/>
      </rPr>
      <t>（小街）</t>
    </r>
  </si>
  <si>
    <r>
      <t>调拨</t>
    </r>
    <r>
      <rPr>
        <sz val="12"/>
        <color theme="1"/>
        <rFont val="宋体"/>
        <charset val="134"/>
      </rPr>
      <t>（调斗南）</t>
    </r>
  </si>
  <si>
    <t>小街淘汰数</t>
  </si>
  <si>
    <t>小街淘汰占比（平均值）</t>
  </si>
  <si>
    <t>小街淘汰占比(当月)</t>
  </si>
  <si>
    <t>长松园实际期初数</t>
  </si>
  <si>
    <t>长松园淘汰数</t>
  </si>
  <si>
    <t>长松园淘汰占比(当月)</t>
  </si>
  <si>
    <t>长松园淘汰占比(平均值)</t>
  </si>
  <si>
    <t>真善美实际期初数</t>
  </si>
  <si>
    <t>真善美淘汰数</t>
  </si>
  <si>
    <t>真善美淘汰占比(当月)</t>
  </si>
  <si>
    <t>真善美淘汰占比(平均值)</t>
  </si>
  <si>
    <t>砚山实际期初数</t>
  </si>
  <si>
    <t>砚山淘汰数</t>
  </si>
  <si>
    <t>砚山淘汰占比(当月)</t>
  </si>
  <si>
    <t>砚山淘汰占比(平均值)</t>
  </si>
  <si>
    <t>淘汰数合计</t>
  </si>
  <si>
    <t>淘汰数占比(当月）</t>
  </si>
  <si>
    <t>淘汰数占比(平均值）</t>
  </si>
  <si>
    <t>中苗淘汰</t>
  </si>
  <si>
    <t>大苗淘汰</t>
  </si>
  <si>
    <t>开花株淘汰</t>
  </si>
  <si>
    <t>斗南退回淘汰</t>
  </si>
  <si>
    <t>小街淘汰小计</t>
  </si>
  <si>
    <t>购入小苗数</t>
  </si>
  <si>
    <t>小苗淘汰</t>
  </si>
  <si>
    <t>购入数中苗</t>
  </si>
  <si>
    <t>购入数大苗</t>
  </si>
  <si>
    <t>长松园淘汰小计</t>
  </si>
  <si>
    <t>购入开花株</t>
  </si>
  <si>
    <t>真善美淘汰小计</t>
  </si>
  <si>
    <t>砚山淘汰小计</t>
  </si>
  <si>
    <t>制表人：</t>
  </si>
  <si>
    <r>
      <t>2026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</si>
  <si>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r>
      <t>2024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</si>
  <si>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r>
      <t>2022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</si>
  <si>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t>小街实际结存数</t>
  </si>
  <si>
    <t>销售</t>
  </si>
  <si>
    <t>调拨</t>
  </si>
  <si>
    <t>长松园实际结存数</t>
  </si>
  <si>
    <t>斗南切完退回淘汰</t>
  </si>
  <si>
    <t>小街小计</t>
  </si>
  <si>
    <t>长松园小计</t>
  </si>
  <si>
    <r>
      <t>2023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</si>
  <si>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t>销售（小街）</t>
  </si>
  <si>
    <t>调拨（调斗南）</t>
  </si>
  <si>
    <r>
      <rPr>
        <sz val="20"/>
        <color theme="1"/>
        <rFont val="Tahoma"/>
        <family val="2"/>
        <charset val="134"/>
      </rPr>
      <t>2025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</si>
  <si>
    <t>小街库存</t>
  </si>
  <si>
    <t>长松园库存</t>
  </si>
  <si>
    <t>真善美库存</t>
  </si>
  <si>
    <t>砚山库存</t>
  </si>
  <si>
    <t>斗南库存</t>
  </si>
  <si>
    <t>淘汰</t>
  </si>
  <si>
    <t>自产自销数量</t>
  </si>
  <si>
    <t>淘汰率</t>
  </si>
  <si>
    <t>25年进货</t>
  </si>
  <si>
    <r>
      <rPr>
        <sz val="20"/>
        <color theme="1"/>
        <rFont val="Tahoma"/>
        <family val="2"/>
        <charset val="134"/>
      </rPr>
      <t>2026</t>
    </r>
    <r>
      <rPr>
        <sz val="20"/>
        <color indexed="8"/>
        <rFont val="宋体"/>
        <charset val="134"/>
      </rPr>
      <t>年</t>
    </r>
    <r>
      <rPr>
        <sz val="20"/>
        <color theme="1"/>
        <rFont val="Tahoma"/>
        <family val="2"/>
        <charset val="134"/>
      </rPr>
      <t>1-12</t>
    </r>
    <r>
      <rPr>
        <sz val="20"/>
        <color indexed="8"/>
        <rFont val="宋体"/>
        <charset val="134"/>
      </rPr>
      <t>月份实际结存淘汰占比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</si>
</sst>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2">
    <font>
      <sz val="12"/>
      <name val="宋体"/>
      <charset val="134"/>
    </font>
    <font>
      <sz val="11"/>
      <color theme="1"/>
      <name val="宋体"/>
      <charset val="134"/>
      <scheme val="minor"/>
    </font>
    <font>
      <sz val="20"/>
      <color theme="1"/>
      <name val="Tahoma"/>
      <family val="2"/>
      <charset val="134"/>
    </font>
    <font>
      <sz val="14"/>
      <color theme="1"/>
      <name val="仿宋"/>
      <family val="3"/>
      <charset val="134"/>
    </font>
    <font>
      <sz val="12"/>
      <color theme="1"/>
      <name val="宋体"/>
      <charset val="134"/>
    </font>
    <font>
      <sz val="16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sz val="20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sz val="11"/>
      <color theme="1"/>
      <name val="Tahoma"/>
      <family val="2"/>
      <charset val="134"/>
    </font>
    <font>
      <sz val="14"/>
      <color theme="1"/>
      <name val="Tahoma"/>
      <family val="2"/>
      <charset val="134"/>
    </font>
    <font>
      <sz val="11"/>
      <color theme="1"/>
      <name val="宋体"/>
      <charset val="134"/>
    </font>
    <font>
      <sz val="12"/>
      <color theme="1"/>
      <name val="Tahoma"/>
      <family val="2"/>
      <charset val="134"/>
    </font>
    <font>
      <b/>
      <sz val="14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</font>
    <font>
      <sz val="20"/>
      <color indexed="8"/>
      <name val="宋体"/>
      <charset val="134"/>
    </font>
    <font>
      <b/>
      <sz val="9"/>
      <name val="SimSun"/>
      <charset val="134"/>
    </font>
    <font>
      <sz val="9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4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44" applyNumberFormat="0" applyAlignment="0" applyProtection="0">
      <alignment vertical="center"/>
    </xf>
    <xf numFmtId="0" fontId="29" fillId="12" borderId="45" applyNumberFormat="0" applyAlignment="0" applyProtection="0">
      <alignment vertical="center"/>
    </xf>
    <xf numFmtId="0" fontId="30" fillId="12" borderId="44" applyNumberFormat="0" applyAlignment="0" applyProtection="0">
      <alignment vertical="center"/>
    </xf>
    <xf numFmtId="0" fontId="31" fillId="13" borderId="46" applyNumberFormat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8" fillId="0" borderId="0"/>
  </cellStyleXfs>
  <cellXfs count="33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0" fontId="1" fillId="0" borderId="2" xfId="3" applyNumberFormat="1" applyFont="1" applyFill="1" applyBorder="1" applyAlignment="1" applyProtection="1">
      <alignment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10" fontId="1" fillId="0" borderId="2" xfId="3" applyNumberFormat="1" applyFont="1" applyFill="1" applyBorder="1" applyAlignment="1" applyProtection="1">
      <alignment horizontal="center" vertical="center"/>
    </xf>
    <xf numFmtId="57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176" fontId="10" fillId="5" borderId="4" xfId="0" applyNumberFormat="1" applyFont="1" applyFill="1" applyBorder="1" applyAlignment="1">
      <alignment horizontal="center" vertical="center" wrapText="1"/>
    </xf>
    <xf numFmtId="176" fontId="8" fillId="6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 wrapText="1"/>
    </xf>
    <xf numFmtId="176" fontId="8" fillId="6" borderId="9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76" fontId="8" fillId="0" borderId="2" xfId="0" applyNumberFormat="1" applyFont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176" fontId="8" fillId="0" borderId="10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176" fontId="0" fillId="3" borderId="11" xfId="0" applyNumberFormat="1" applyFont="1" applyFill="1" applyBorder="1" applyAlignment="1">
      <alignment horizontal="center" vertical="center"/>
    </xf>
    <xf numFmtId="176" fontId="0" fillId="3" borderId="9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0" fontId="4" fillId="5" borderId="2" xfId="0" applyNumberFormat="1" applyFont="1" applyFill="1" applyBorder="1" applyAlignment="1">
      <alignment horizontal="center" vertical="center" wrapText="1"/>
    </xf>
    <xf numFmtId="10" fontId="4" fillId="5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 wrapText="1"/>
    </xf>
    <xf numFmtId="10" fontId="4" fillId="3" borderId="2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/>
    </xf>
    <xf numFmtId="176" fontId="6" fillId="5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13" fillId="5" borderId="2" xfId="0" applyNumberFormat="1" applyFont="1" applyFill="1" applyBorder="1" applyAlignment="1">
      <alignment horizontal="center" vertical="center" wrapText="1"/>
    </xf>
    <xf numFmtId="176" fontId="4" fillId="8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12" fillId="0" borderId="0" xfId="0" applyFont="1" applyFill="1" applyAlignment="1"/>
    <xf numFmtId="0" fontId="6" fillId="0" borderId="14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0" fontId="4" fillId="0" borderId="2" xfId="3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0" fontId="12" fillId="0" borderId="0" xfId="3" applyNumberFormat="1" applyFont="1" applyFill="1" applyBorder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176" fontId="10" fillId="5" borderId="16" xfId="0" applyNumberFormat="1" applyFont="1" applyFill="1" applyBorder="1" applyAlignment="1">
      <alignment horizontal="center" vertical="center" wrapText="1"/>
    </xf>
    <xf numFmtId="176" fontId="8" fillId="6" borderId="17" xfId="0" applyNumberFormat="1" applyFont="1" applyFill="1" applyBorder="1" applyAlignment="1">
      <alignment horizontal="center" vertical="center" wrapText="1"/>
    </xf>
    <xf numFmtId="176" fontId="8" fillId="6" borderId="18" xfId="0" applyNumberFormat="1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7" borderId="2" xfId="0" applyFont="1" applyFill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8" fillId="0" borderId="20" xfId="0" applyNumberFormat="1" applyFont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176" fontId="8" fillId="6" borderId="0" xfId="0" applyNumberFormat="1" applyFont="1" applyFill="1" applyAlignment="1">
      <alignment horizontal="center" vertical="center" wrapText="1"/>
    </xf>
    <xf numFmtId="176" fontId="8" fillId="6" borderId="23" xfId="0" applyNumberFormat="1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176" fontId="8" fillId="0" borderId="26" xfId="0" applyNumberFormat="1" applyFont="1" applyBorder="1" applyAlignment="1">
      <alignment horizontal="center" vertical="center" wrapText="1"/>
    </xf>
    <xf numFmtId="176" fontId="8" fillId="6" borderId="26" xfId="0" applyNumberFormat="1" applyFont="1" applyFill="1" applyBorder="1" applyAlignment="1">
      <alignment horizontal="center" vertical="center" wrapText="1"/>
    </xf>
    <xf numFmtId="176" fontId="8" fillId="6" borderId="27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176" fontId="8" fillId="0" borderId="24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7" borderId="2" xfId="0" applyNumberFormat="1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176" fontId="0" fillId="0" borderId="24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177" fontId="0" fillId="0" borderId="2" xfId="0" applyNumberFormat="1" applyFont="1" applyBorder="1" applyAlignment="1">
      <alignment horizontal="center" vertical="center"/>
    </xf>
    <xf numFmtId="177" fontId="0" fillId="0" borderId="24" xfId="0" applyNumberFormat="1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0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76" fontId="0" fillId="0" borderId="28" xfId="0" applyNumberFormat="1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77" fontId="0" fillId="0" borderId="29" xfId="0" applyNumberFormat="1" applyFont="1" applyBorder="1" applyAlignment="1">
      <alignment horizontal="center" vertical="center"/>
    </xf>
    <xf numFmtId="176" fontId="0" fillId="0" borderId="30" xfId="0" applyNumberFormat="1" applyFont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176" fontId="0" fillId="3" borderId="11" xfId="0" applyNumberFormat="1" applyFont="1" applyFill="1" applyBorder="1" applyAlignment="1">
      <alignment horizontal="center" vertical="center"/>
    </xf>
    <xf numFmtId="176" fontId="0" fillId="3" borderId="28" xfId="0" applyNumberFormat="1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176" fontId="0" fillId="3" borderId="29" xfId="0" applyNumberFormat="1" applyFont="1" applyFill="1" applyBorder="1" applyAlignment="1">
      <alignment horizontal="center" vertical="center"/>
    </xf>
    <xf numFmtId="176" fontId="0" fillId="3" borderId="30" xfId="0" applyNumberFormat="1" applyFont="1" applyFill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76" fontId="0" fillId="0" borderId="29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1" fillId="9" borderId="2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0" fontId="8" fillId="0" borderId="31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10" fontId="8" fillId="0" borderId="9" xfId="0" applyNumberFormat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76" fontId="8" fillId="0" borderId="9" xfId="0" applyNumberFormat="1" applyFont="1" applyBorder="1" applyAlignment="1">
      <alignment horizontal="center" vertical="center"/>
    </xf>
    <xf numFmtId="176" fontId="8" fillId="5" borderId="9" xfId="0" applyNumberFormat="1" applyFont="1" applyFill="1" applyBorder="1" applyAlignment="1">
      <alignment horizontal="center" vertical="center"/>
    </xf>
    <xf numFmtId="176" fontId="8" fillId="3" borderId="32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76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8" fillId="3" borderId="34" xfId="0" applyNumberFormat="1" applyFont="1" applyFill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176" fontId="11" fillId="0" borderId="29" xfId="0" applyNumberFormat="1" applyFont="1" applyBorder="1" applyAlignment="1">
      <alignment horizontal="center" vertical="center" wrapText="1"/>
    </xf>
    <xf numFmtId="176" fontId="0" fillId="0" borderId="32" xfId="0" applyNumberFormat="1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6" fontId="8" fillId="0" borderId="3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0" borderId="2" xfId="49" applyFont="1" applyBorder="1" applyAlignment="1">
      <alignment horizontal="center" vertical="center"/>
    </xf>
    <xf numFmtId="0" fontId="0" fillId="5" borderId="28" xfId="0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176" fontId="0" fillId="4" borderId="37" xfId="0" applyNumberFormat="1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0" fillId="5" borderId="39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0" fillId="5" borderId="39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6" fillId="0" borderId="2" xfId="49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17" fillId="2" borderId="2" xfId="49" applyFont="1" applyFill="1" applyBorder="1" applyAlignment="1">
      <alignment horizontal="center" vertical="center"/>
    </xf>
    <xf numFmtId="0" fontId="17" fillId="0" borderId="2" xfId="49" applyFont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17" fillId="3" borderId="11" xfId="49" applyFont="1" applyFill="1" applyBorder="1" applyAlignment="1">
      <alignment horizontal="center" vertical="center"/>
    </xf>
    <xf numFmtId="0" fontId="17" fillId="3" borderId="12" xfId="49" applyFont="1" applyFill="1" applyBorder="1" applyAlignment="1">
      <alignment horizontal="center" vertical="center"/>
    </xf>
    <xf numFmtId="0" fontId="17" fillId="3" borderId="13" xfId="49" applyFont="1" applyFill="1" applyBorder="1" applyAlignment="1">
      <alignment horizontal="center" vertical="center"/>
    </xf>
    <xf numFmtId="0" fontId="17" fillId="3" borderId="2" xfId="49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/>
    </xf>
    <xf numFmtId="0" fontId="0" fillId="0" borderId="0" xfId="0" applyFont="1" applyFill="1">
      <alignment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49" fontId="8" fillId="7" borderId="11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76" fontId="0" fillId="0" borderId="24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32" xfId="0" applyFont="1" applyBorder="1" applyAlignment="1">
      <alignment horizontal="center" vertical="center"/>
    </xf>
    <xf numFmtId="0" fontId="0" fillId="0" borderId="0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9E4B4"/>
      <color rgb="00D2F4F2"/>
      <color rgb="00FADADE"/>
      <color rgb="00FFFFFF"/>
      <color rgb="00E3F2D9"/>
      <color rgb="00FCE4D3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457200</xdr:colOff>
      <xdr:row>17</xdr:row>
      <xdr:rowOff>114300</xdr:rowOff>
    </xdr:to>
    <xdr:pic>
      <xdr:nvPicPr>
        <xdr:cNvPr id="111181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22550" y="3911600"/>
          <a:ext cx="457200" cy="114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6"/>
  <sheetViews>
    <sheetView topLeftCell="A2" workbookViewId="0">
      <selection activeCell="A11" sqref="$A11:$XFD11"/>
    </sheetView>
  </sheetViews>
  <sheetFormatPr defaultColWidth="9" defaultRowHeight="15.6"/>
  <cols>
    <col min="1" max="1" width="10.275" style="27" customWidth="1"/>
    <col min="2" max="2" width="8.325" style="27" customWidth="1"/>
    <col min="3" max="4" width="7.75" style="27" customWidth="1"/>
    <col min="5" max="5" width="8.60833333333333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9.3" style="27" customWidth="1"/>
    <col min="16" max="16" width="7.775" style="27" customWidth="1"/>
    <col min="17" max="18" width="8.125" style="27" customWidth="1"/>
    <col min="19" max="19" width="9.3" style="27" customWidth="1"/>
    <col min="20" max="21" width="9.375" style="27" customWidth="1"/>
    <col min="22" max="22" width="13.8916666666667" style="27" customWidth="1"/>
    <col min="23" max="23" width="8.875" style="28" customWidth="1"/>
    <col min="24" max="24" width="13.375" style="28" customWidth="1"/>
    <col min="25" max="26" width="8.875" style="27" customWidth="1"/>
    <col min="27" max="27" width="10.75" style="27" customWidth="1"/>
    <col min="28" max="28" width="11.525" style="27" customWidth="1"/>
    <col min="29" max="32" width="8.875" style="28" customWidth="1"/>
    <col min="33" max="34" width="8.875" style="27" customWidth="1"/>
    <col min="35" max="35" width="10.75" style="27" customWidth="1"/>
    <col min="36" max="36" width="11.525" style="27" customWidth="1"/>
    <col min="37" max="39" width="8.875" style="28" customWidth="1"/>
    <col min="40" max="40" width="8.875" style="27" customWidth="1"/>
    <col min="41" max="41" width="11.25" style="27" customWidth="1"/>
    <col min="42" max="42" width="11.625" style="27" customWidth="1"/>
    <col min="43" max="43" width="10.75" style="27" customWidth="1"/>
    <col min="44" max="44" width="11.525" style="27" customWidth="1"/>
    <col min="45" max="45" width="11.875" style="27" customWidth="1"/>
    <col min="46" max="46" width="8.875" style="28" customWidth="1"/>
    <col min="47" max="47" width="18.75" style="202" customWidth="1"/>
    <col min="48" max="48" width="17.875" customWidth="1"/>
    <col min="49" max="49" width="28.875" customWidth="1"/>
    <col min="50" max="50" width="21.25" customWidth="1"/>
  </cols>
  <sheetData>
    <row r="1" customFormat="1" ht="30" customHeight="1" spans="1:5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  <c r="AF1" s="30"/>
      <c r="AG1" s="29"/>
      <c r="AH1" s="29"/>
      <c r="AI1" s="29"/>
      <c r="AJ1" s="29"/>
      <c r="AK1" s="30"/>
      <c r="AL1" s="30"/>
      <c r="AM1" s="30"/>
      <c r="AN1" s="29"/>
      <c r="AO1" s="29"/>
      <c r="AP1" s="29"/>
      <c r="AQ1" s="29"/>
      <c r="AR1" s="29"/>
      <c r="AS1" s="29"/>
      <c r="AT1" s="30"/>
      <c r="AU1" s="202"/>
    </row>
    <row r="2" s="24" customFormat="1" ht="27" customHeight="1" spans="1:50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92"/>
      <c r="AG2" s="120" t="s">
        <v>5</v>
      </c>
      <c r="AH2" s="121"/>
      <c r="AI2" s="33"/>
      <c r="AJ2" s="122"/>
      <c r="AK2" s="123"/>
      <c r="AL2" s="305" t="s">
        <v>6</v>
      </c>
      <c r="AM2" s="306"/>
      <c r="AN2" s="306"/>
      <c r="AO2" s="306"/>
      <c r="AP2" s="306"/>
      <c r="AQ2" s="306"/>
      <c r="AR2" s="306"/>
      <c r="AS2" s="306"/>
      <c r="AT2" s="306"/>
      <c r="AU2" s="307" t="s">
        <v>7</v>
      </c>
      <c r="AV2" s="308" t="s">
        <v>8</v>
      </c>
      <c r="AW2" s="307" t="s">
        <v>9</v>
      </c>
      <c r="AX2" s="308" t="s">
        <v>10</v>
      </c>
    </row>
    <row r="3" s="25" customFormat="1" ht="27" customHeight="1" spans="1:50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3" t="s">
        <v>20</v>
      </c>
      <c r="AG3" s="134"/>
      <c r="AH3" s="133" t="s">
        <v>21</v>
      </c>
      <c r="AI3" s="134"/>
      <c r="AJ3" s="135" t="s">
        <v>22</v>
      </c>
      <c r="AK3" s="136"/>
      <c r="AL3" s="133" t="s">
        <v>23</v>
      </c>
      <c r="AM3" s="309"/>
      <c r="AN3" s="134"/>
      <c r="AO3" s="133" t="s">
        <v>24</v>
      </c>
      <c r="AP3" s="309"/>
      <c r="AQ3" s="134"/>
      <c r="AR3" s="135" t="s">
        <v>25</v>
      </c>
      <c r="AS3" s="136"/>
      <c r="AT3" s="136"/>
      <c r="AU3" s="176"/>
      <c r="AV3" s="268"/>
      <c r="AW3" s="176"/>
      <c r="AX3" s="268"/>
    </row>
    <row r="4" s="25" customFormat="1" ht="36" customHeight="1" spans="1:50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51"/>
      <c r="AG4" s="152"/>
      <c r="AH4" s="151"/>
      <c r="AI4" s="152"/>
      <c r="AJ4" s="149"/>
      <c r="AK4" s="153"/>
      <c r="AL4" s="151"/>
      <c r="AM4" s="310"/>
      <c r="AN4" s="152"/>
      <c r="AO4" s="151"/>
      <c r="AP4" s="310"/>
      <c r="AQ4" s="152"/>
      <c r="AR4" s="149"/>
      <c r="AS4" s="153"/>
      <c r="AT4" s="153"/>
      <c r="AU4" s="176"/>
      <c r="AV4" s="268"/>
      <c r="AW4" s="176"/>
      <c r="AX4" s="268"/>
    </row>
    <row r="5" s="25" customFormat="1" ht="22" customHeight="1" spans="1:50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8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48" t="s">
        <v>28</v>
      </c>
      <c r="AG5" s="49" t="s">
        <v>29</v>
      </c>
      <c r="AH5" s="41" t="s">
        <v>28</v>
      </c>
      <c r="AI5" s="140" t="s">
        <v>29</v>
      </c>
      <c r="AJ5" s="162" t="s">
        <v>28</v>
      </c>
      <c r="AK5" s="51" t="s">
        <v>29</v>
      </c>
      <c r="AL5" s="165">
        <v>2.8</v>
      </c>
      <c r="AM5" s="165">
        <v>3</v>
      </c>
      <c r="AN5" s="166">
        <v>3.5</v>
      </c>
      <c r="AO5" s="165">
        <v>2.8</v>
      </c>
      <c r="AP5" s="165">
        <v>3</v>
      </c>
      <c r="AQ5" s="166">
        <v>3.5</v>
      </c>
      <c r="AR5" s="165">
        <v>2.8</v>
      </c>
      <c r="AS5" s="165">
        <v>3</v>
      </c>
      <c r="AT5" s="311">
        <v>3.5</v>
      </c>
      <c r="AU5" s="176"/>
      <c r="AV5" s="268"/>
      <c r="AW5" s="176"/>
      <c r="AX5" s="268"/>
    </row>
    <row r="6" s="26" customFormat="1" ht="23" customHeight="1" spans="1:50">
      <c r="A6" s="52" t="s">
        <v>36</v>
      </c>
      <c r="B6" s="52"/>
      <c r="C6" s="53">
        <v>72387</v>
      </c>
      <c r="D6" s="53"/>
      <c r="E6" s="53">
        <v>1427651</v>
      </c>
      <c r="F6" s="53"/>
      <c r="G6" s="54"/>
      <c r="H6" s="53"/>
      <c r="I6" s="53"/>
      <c r="J6" s="53">
        <v>40</v>
      </c>
      <c r="K6" s="53">
        <v>690</v>
      </c>
      <c r="L6" s="53"/>
      <c r="M6" s="53">
        <v>4992</v>
      </c>
      <c r="N6" s="53"/>
      <c r="O6" s="53">
        <v>115444</v>
      </c>
      <c r="P6" s="53"/>
      <c r="Q6" s="53">
        <v>118764</v>
      </c>
      <c r="R6" s="53"/>
      <c r="S6" s="55">
        <v>2655256</v>
      </c>
      <c r="T6" s="53">
        <f t="shared" ref="T6:T10" si="0">C6+F6+H6+J6+M6+Q6+B6+L6+P6</f>
        <v>196183</v>
      </c>
      <c r="U6" s="53">
        <f t="shared" ref="U6:U10" si="1">E6+G6+I6+K6+O6+S6+D6+N6+R6</f>
        <v>4199041</v>
      </c>
      <c r="V6" s="53" t="e">
        <f t="shared" ref="V6:V10" si="2">(D6+N6+R6)/(B6+L6+P6)</f>
        <v>#DIV/0!</v>
      </c>
      <c r="W6" s="56">
        <f t="shared" ref="W6:W10" si="3">(E6+O6+S6)/(C6+M6+Q6)</f>
        <v>21.4045415844562</v>
      </c>
      <c r="X6" s="56"/>
      <c r="Y6" s="53">
        <v>32831</v>
      </c>
      <c r="Z6" s="53"/>
      <c r="AA6" s="53">
        <v>555715</v>
      </c>
      <c r="AB6" s="167" t="e">
        <f t="shared" ref="AB6:AB18" si="4">Z6/X6</f>
        <v>#DIV/0!</v>
      </c>
      <c r="AC6" s="57">
        <f t="shared" ref="AC6:AC18" si="5">AA6/Y6</f>
        <v>16.9265328500503</v>
      </c>
      <c r="AD6" s="168" t="e">
        <f t="shared" ref="AD6:AD18" si="6">(D6+N6+R6+Z6)/(B6+L6+P6+X6)</f>
        <v>#DIV/0!</v>
      </c>
      <c r="AE6" s="58">
        <f t="shared" ref="AE6:AE18" si="7">(E6+O6+S6+AA6)/(C6+M6+Q6+Y6)</f>
        <v>20.7624708482186</v>
      </c>
      <c r="AF6" s="56"/>
      <c r="AG6" s="53"/>
      <c r="AH6" s="53"/>
      <c r="AI6" s="53"/>
      <c r="AJ6" s="167" t="e">
        <f t="shared" ref="AJ6:AJ18" si="8">AH6/AF6</f>
        <v>#DIV/0!</v>
      </c>
      <c r="AK6" s="57" t="e">
        <f t="shared" ref="AK6:AK18" si="9">AI6/AG6</f>
        <v>#DIV/0!</v>
      </c>
      <c r="AL6" s="172"/>
      <c r="AM6" s="172"/>
      <c r="AN6" s="53"/>
      <c r="AO6" s="53"/>
      <c r="AP6" s="53"/>
      <c r="AQ6" s="53"/>
      <c r="AR6" s="168" t="e">
        <f t="shared" ref="AR6:AT6" si="10">AO6/AL6</f>
        <v>#DIV/0!</v>
      </c>
      <c r="AS6" s="168" t="e">
        <f t="shared" si="10"/>
        <v>#DIV/0!</v>
      </c>
      <c r="AT6" s="57" t="e">
        <f t="shared" si="10"/>
        <v>#DIV/0!</v>
      </c>
      <c r="AU6" s="177">
        <f t="shared" ref="AU6:AU18" si="11">T6+X6+Y6+AF6+AG6+AL6+AM6+AN6</f>
        <v>229014</v>
      </c>
      <c r="AV6" s="327">
        <f t="shared" ref="AV6:AV18" si="12">U6+Z6+AA6+AH6+AI6+AO6+AP6+AQ6</f>
        <v>4754756</v>
      </c>
      <c r="AW6" s="177">
        <v>820</v>
      </c>
      <c r="AX6" s="178">
        <v>10020</v>
      </c>
    </row>
    <row r="7" s="26" customFormat="1" ht="23" customHeight="1" spans="1:50">
      <c r="A7" s="52" t="s">
        <v>37</v>
      </c>
      <c r="B7" s="52"/>
      <c r="C7" s="53">
        <v>25399</v>
      </c>
      <c r="D7" s="53"/>
      <c r="E7" s="53">
        <f>404913-8910</f>
        <v>396003</v>
      </c>
      <c r="F7" s="53"/>
      <c r="G7" s="54"/>
      <c r="H7" s="53"/>
      <c r="I7" s="53"/>
      <c r="J7" s="53"/>
      <c r="K7" s="53"/>
      <c r="L7" s="53"/>
      <c r="M7" s="53">
        <v>88202</v>
      </c>
      <c r="N7" s="53"/>
      <c r="O7" s="53">
        <v>2167000</v>
      </c>
      <c r="P7" s="53"/>
      <c r="Q7" s="53"/>
      <c r="R7" s="53"/>
      <c r="S7" s="54"/>
      <c r="T7" s="53">
        <f t="shared" si="0"/>
        <v>113601</v>
      </c>
      <c r="U7" s="53">
        <f t="shared" si="1"/>
        <v>2563003</v>
      </c>
      <c r="V7" s="53" t="e">
        <f t="shared" si="2"/>
        <v>#DIV/0!</v>
      </c>
      <c r="W7" s="56">
        <f t="shared" si="3"/>
        <v>22.561447522469</v>
      </c>
      <c r="X7" s="56"/>
      <c r="Y7" s="53">
        <v>14768</v>
      </c>
      <c r="Z7" s="53"/>
      <c r="AA7" s="53">
        <v>175156</v>
      </c>
      <c r="AB7" s="167" t="e">
        <f t="shared" si="4"/>
        <v>#DIV/0!</v>
      </c>
      <c r="AC7" s="57">
        <f t="shared" si="5"/>
        <v>11.8605092091008</v>
      </c>
      <c r="AD7" s="168" t="e">
        <f t="shared" si="6"/>
        <v>#DIV/0!</v>
      </c>
      <c r="AE7" s="58">
        <f t="shared" si="7"/>
        <v>21.3303757137627</v>
      </c>
      <c r="AF7" s="56"/>
      <c r="AG7" s="53"/>
      <c r="AH7" s="53"/>
      <c r="AI7" s="53"/>
      <c r="AJ7" s="53" t="e">
        <f t="shared" si="8"/>
        <v>#DIV/0!</v>
      </c>
      <c r="AK7" s="56" t="e">
        <f t="shared" si="9"/>
        <v>#DIV/0!</v>
      </c>
      <c r="AL7" s="171"/>
      <c r="AM7" s="171"/>
      <c r="AN7" s="171"/>
      <c r="AO7" s="171"/>
      <c r="AP7" s="171"/>
      <c r="AQ7" s="171"/>
      <c r="AR7" s="56" t="e">
        <f>AO7/AL7</f>
        <v>#DIV/0!</v>
      </c>
      <c r="AS7" s="56" t="e">
        <f>AP7/AM7</f>
        <v>#DIV/0!</v>
      </c>
      <c r="AT7" s="56" t="e">
        <f>AQ7/AN7</f>
        <v>#DIV/0!</v>
      </c>
      <c r="AU7" s="177">
        <f t="shared" si="11"/>
        <v>128369</v>
      </c>
      <c r="AV7" s="327">
        <f t="shared" si="12"/>
        <v>2738159</v>
      </c>
      <c r="AW7" s="177">
        <v>640</v>
      </c>
      <c r="AX7" s="178">
        <v>8910</v>
      </c>
    </row>
    <row r="8" s="26" customFormat="1" ht="23" customHeight="1" spans="1:50">
      <c r="A8" s="52" t="s">
        <v>38</v>
      </c>
      <c r="B8" s="52"/>
      <c r="C8" s="53">
        <v>13835</v>
      </c>
      <c r="D8" s="53"/>
      <c r="E8" s="53">
        <f>201151-24095</f>
        <v>177056</v>
      </c>
      <c r="F8" s="53"/>
      <c r="G8" s="54"/>
      <c r="H8" s="53"/>
      <c r="I8" s="53"/>
      <c r="J8" s="53"/>
      <c r="K8" s="53"/>
      <c r="L8" s="53"/>
      <c r="M8" s="53">
        <v>34560</v>
      </c>
      <c r="N8" s="53"/>
      <c r="O8" s="53">
        <v>879760</v>
      </c>
      <c r="P8" s="53"/>
      <c r="Q8" s="53">
        <v>1240</v>
      </c>
      <c r="R8" s="53"/>
      <c r="S8" s="53">
        <f>58619-27560</f>
        <v>31059</v>
      </c>
      <c r="T8" s="53">
        <f t="shared" si="0"/>
        <v>49635</v>
      </c>
      <c r="U8" s="53">
        <f t="shared" si="1"/>
        <v>1087875</v>
      </c>
      <c r="V8" s="53" t="e">
        <f t="shared" si="2"/>
        <v>#DIV/0!</v>
      </c>
      <c r="W8" s="56">
        <f t="shared" si="3"/>
        <v>21.9174977334542</v>
      </c>
      <c r="X8" s="56"/>
      <c r="Y8" s="53">
        <v>11771</v>
      </c>
      <c r="Z8" s="53"/>
      <c r="AA8" s="53">
        <f>92904-507</f>
        <v>92397</v>
      </c>
      <c r="AB8" s="167" t="e">
        <f t="shared" si="4"/>
        <v>#DIV/0!</v>
      </c>
      <c r="AC8" s="57">
        <f t="shared" si="5"/>
        <v>7.84954549316116</v>
      </c>
      <c r="AD8" s="168" t="e">
        <f t="shared" si="6"/>
        <v>#DIV/0!</v>
      </c>
      <c r="AE8" s="58">
        <f t="shared" si="7"/>
        <v>19.2207927564082</v>
      </c>
      <c r="AF8" s="56"/>
      <c r="AG8" s="53"/>
      <c r="AH8" s="53"/>
      <c r="AI8" s="53"/>
      <c r="AJ8" s="53" t="e">
        <f t="shared" si="8"/>
        <v>#DIV/0!</v>
      </c>
      <c r="AK8" s="56" t="e">
        <f t="shared" si="9"/>
        <v>#DIV/0!</v>
      </c>
      <c r="AL8" s="56"/>
      <c r="AM8" s="56"/>
      <c r="AN8" s="53"/>
      <c r="AO8" s="53"/>
      <c r="AP8" s="53"/>
      <c r="AQ8" s="53"/>
      <c r="AR8" s="53" t="e">
        <f t="shared" ref="AR8:AT8" si="13">AO8/AL8</f>
        <v>#DIV/0!</v>
      </c>
      <c r="AS8" s="53" t="e">
        <f t="shared" si="13"/>
        <v>#DIV/0!</v>
      </c>
      <c r="AT8" s="56" t="e">
        <f t="shared" si="13"/>
        <v>#DIV/0!</v>
      </c>
      <c r="AU8" s="177">
        <f t="shared" si="11"/>
        <v>61406</v>
      </c>
      <c r="AV8" s="327">
        <f t="shared" si="12"/>
        <v>1180272</v>
      </c>
      <c r="AW8" s="177">
        <v>4654</v>
      </c>
      <c r="AX8" s="178">
        <v>24602</v>
      </c>
    </row>
    <row r="9" s="26" customFormat="1" ht="23" customHeight="1" spans="1:50">
      <c r="A9" s="52" t="s">
        <v>39</v>
      </c>
      <c r="B9" s="52"/>
      <c r="C9" s="53">
        <v>24964</v>
      </c>
      <c r="D9" s="53"/>
      <c r="E9" s="53">
        <f>426350-4500</f>
        <v>421850</v>
      </c>
      <c r="F9" s="53"/>
      <c r="G9" s="53"/>
      <c r="H9" s="53">
        <v>30000</v>
      </c>
      <c r="I9" s="53">
        <f>258900-3900</f>
        <v>255000</v>
      </c>
      <c r="J9" s="53"/>
      <c r="K9" s="53"/>
      <c r="L9" s="53"/>
      <c r="M9" s="53"/>
      <c r="N9" s="53"/>
      <c r="O9" s="53"/>
      <c r="P9" s="53"/>
      <c r="Q9" s="53">
        <v>320</v>
      </c>
      <c r="R9" s="53"/>
      <c r="S9" s="55">
        <v>8320</v>
      </c>
      <c r="T9" s="53">
        <f t="shared" si="0"/>
        <v>55284</v>
      </c>
      <c r="U9" s="53">
        <f t="shared" si="1"/>
        <v>685170</v>
      </c>
      <c r="V9" s="53" t="e">
        <f t="shared" si="2"/>
        <v>#DIV/0!</v>
      </c>
      <c r="W9" s="56">
        <f t="shared" si="3"/>
        <v>17.0135263407689</v>
      </c>
      <c r="X9" s="56"/>
      <c r="Y9" s="53">
        <v>6934</v>
      </c>
      <c r="Z9" s="53"/>
      <c r="AA9" s="53">
        <f>109224-368</f>
        <v>108856</v>
      </c>
      <c r="AB9" s="167" t="e">
        <f t="shared" si="4"/>
        <v>#DIV/0!</v>
      </c>
      <c r="AC9" s="57">
        <f t="shared" si="5"/>
        <v>15.6988751081627</v>
      </c>
      <c r="AD9" s="168" t="e">
        <f t="shared" si="6"/>
        <v>#DIV/0!</v>
      </c>
      <c r="AE9" s="58">
        <f t="shared" si="7"/>
        <v>16.7305853870507</v>
      </c>
      <c r="AF9" s="56"/>
      <c r="AG9" s="53"/>
      <c r="AH9" s="53"/>
      <c r="AI9" s="53"/>
      <c r="AJ9" s="53" t="e">
        <f t="shared" si="8"/>
        <v>#DIV/0!</v>
      </c>
      <c r="AK9" s="56" t="e">
        <f t="shared" si="9"/>
        <v>#DIV/0!</v>
      </c>
      <c r="AL9" s="171"/>
      <c r="AM9" s="171"/>
      <c r="AN9" s="171"/>
      <c r="AO9" s="171"/>
      <c r="AP9" s="171"/>
      <c r="AQ9" s="171"/>
      <c r="AR9" s="171"/>
      <c r="AS9" s="171"/>
      <c r="AT9" s="171"/>
      <c r="AU9" s="177">
        <f t="shared" si="11"/>
        <v>62218</v>
      </c>
      <c r="AV9" s="327">
        <f t="shared" si="12"/>
        <v>794026</v>
      </c>
      <c r="AW9" s="227">
        <v>406</v>
      </c>
      <c r="AX9" s="326">
        <v>4868</v>
      </c>
    </row>
    <row r="10" s="26" customFormat="1" ht="23" customHeight="1" spans="1:50">
      <c r="A10" s="52" t="s">
        <v>40</v>
      </c>
      <c r="B10" s="52">
        <v>2462</v>
      </c>
      <c r="C10" s="53">
        <v>23352</v>
      </c>
      <c r="D10" s="53">
        <v>32251</v>
      </c>
      <c r="E10" s="53">
        <v>403004</v>
      </c>
      <c r="F10" s="53"/>
      <c r="G10" s="54"/>
      <c r="H10" s="53"/>
      <c r="I10" s="53"/>
      <c r="J10" s="53"/>
      <c r="K10" s="53"/>
      <c r="L10" s="53">
        <v>31200</v>
      </c>
      <c r="M10" s="53"/>
      <c r="N10" s="53">
        <v>530400</v>
      </c>
      <c r="O10" s="53"/>
      <c r="P10" s="53">
        <v>560</v>
      </c>
      <c r="Q10" s="53">
        <v>300</v>
      </c>
      <c r="R10" s="53">
        <v>13660</v>
      </c>
      <c r="S10" s="54" t="s">
        <v>41</v>
      </c>
      <c r="T10" s="53">
        <f t="shared" si="0"/>
        <v>57874</v>
      </c>
      <c r="U10" s="53">
        <f t="shared" si="1"/>
        <v>987115</v>
      </c>
      <c r="V10" s="56">
        <f t="shared" si="2"/>
        <v>16.8403658465315</v>
      </c>
      <c r="W10" s="56">
        <f t="shared" si="3"/>
        <v>17.3686791814646</v>
      </c>
      <c r="X10" s="172">
        <v>1038</v>
      </c>
      <c r="Y10" s="53">
        <v>9151</v>
      </c>
      <c r="Z10" s="53">
        <v>13374</v>
      </c>
      <c r="AA10" s="53">
        <v>134558</v>
      </c>
      <c r="AB10" s="168">
        <f t="shared" si="4"/>
        <v>12.8843930635838</v>
      </c>
      <c r="AC10" s="57">
        <f t="shared" si="5"/>
        <v>14.7041853349361</v>
      </c>
      <c r="AD10" s="168">
        <f t="shared" si="6"/>
        <v>16.7239081111741</v>
      </c>
      <c r="AE10" s="58">
        <f t="shared" si="7"/>
        <v>16.6253696308264</v>
      </c>
      <c r="AF10" s="172"/>
      <c r="AG10" s="53"/>
      <c r="AH10" s="53"/>
      <c r="AI10" s="53"/>
      <c r="AJ10" s="168" t="e">
        <f t="shared" si="8"/>
        <v>#DIV/0!</v>
      </c>
      <c r="AK10" s="57" t="e">
        <f t="shared" si="9"/>
        <v>#DIV/0!</v>
      </c>
      <c r="AL10" s="172"/>
      <c r="AM10" s="172"/>
      <c r="AN10" s="53"/>
      <c r="AO10" s="53"/>
      <c r="AP10" s="53"/>
      <c r="AQ10" s="53"/>
      <c r="AR10" s="167" t="e">
        <f t="shared" ref="AR10:AT10" si="14">AO10/AL10</f>
        <v>#DIV/0!</v>
      </c>
      <c r="AS10" s="167" t="e">
        <f t="shared" si="14"/>
        <v>#DIV/0!</v>
      </c>
      <c r="AT10" s="57" t="e">
        <f t="shared" si="14"/>
        <v>#DIV/0!</v>
      </c>
      <c r="AU10" s="177">
        <f t="shared" si="11"/>
        <v>68063</v>
      </c>
      <c r="AV10" s="327">
        <f t="shared" si="12"/>
        <v>1135047</v>
      </c>
      <c r="AW10" s="177">
        <v>698</v>
      </c>
      <c r="AX10" s="178">
        <v>6510</v>
      </c>
    </row>
    <row r="11" s="26" customFormat="1" ht="23" customHeight="1" spans="1:50">
      <c r="A11" s="52" t="s">
        <v>42</v>
      </c>
      <c r="B11" s="52">
        <v>2459</v>
      </c>
      <c r="C11" s="53">
        <v>22260</v>
      </c>
      <c r="D11" s="53">
        <v>35308</v>
      </c>
      <c r="E11" s="53">
        <v>359040</v>
      </c>
      <c r="F11" s="53"/>
      <c r="G11" s="55"/>
      <c r="H11" s="53"/>
      <c r="I11" s="53"/>
      <c r="J11" s="53"/>
      <c r="K11" s="53"/>
      <c r="L11" s="53"/>
      <c r="M11" s="53"/>
      <c r="N11" s="53"/>
      <c r="O11" s="53"/>
      <c r="P11" s="53">
        <v>14384</v>
      </c>
      <c r="Q11" s="53">
        <v>11400</v>
      </c>
      <c r="R11" s="53">
        <v>244528</v>
      </c>
      <c r="S11" s="55">
        <v>297800</v>
      </c>
      <c r="T11" s="53">
        <f t="shared" ref="T6:T17" si="15">C11+F11+H11+J11+M11+Q11+B11+L11+P11</f>
        <v>50503</v>
      </c>
      <c r="U11" s="53">
        <f t="shared" ref="U6:U17" si="16">E11+G11+I11+K11+O11+S11+D11+N11+R11</f>
        <v>936676</v>
      </c>
      <c r="V11" s="53">
        <f t="shared" ref="V6:V18" si="17">(D11+N11+R11)/(B11+L11+P11)</f>
        <v>16.6143798610699</v>
      </c>
      <c r="W11" s="56">
        <f t="shared" ref="W6:W18" si="18">(E11+O11+S11)/(C11+M11+Q11)</f>
        <v>19.513963161022</v>
      </c>
      <c r="X11" s="172">
        <v>999</v>
      </c>
      <c r="Y11" s="53">
        <v>5323</v>
      </c>
      <c r="Z11" s="53">
        <v>12186</v>
      </c>
      <c r="AA11" s="53">
        <v>63135</v>
      </c>
      <c r="AB11" s="167">
        <f t="shared" si="4"/>
        <v>12.1981981981982</v>
      </c>
      <c r="AC11" s="57">
        <f t="shared" si="5"/>
        <v>11.8607927860229</v>
      </c>
      <c r="AD11" s="168">
        <f t="shared" si="6"/>
        <v>16.3671113103912</v>
      </c>
      <c r="AE11" s="58">
        <f t="shared" si="7"/>
        <v>18.4689480029757</v>
      </c>
      <c r="AF11" s="172"/>
      <c r="AG11" s="53"/>
      <c r="AH11" s="53"/>
      <c r="AI11" s="53"/>
      <c r="AJ11" s="167" t="e">
        <f t="shared" si="8"/>
        <v>#DIV/0!</v>
      </c>
      <c r="AK11" s="57" t="e">
        <f t="shared" si="9"/>
        <v>#DIV/0!</v>
      </c>
      <c r="AL11" s="172"/>
      <c r="AM11" s="172"/>
      <c r="AN11" s="53"/>
      <c r="AO11" s="53"/>
      <c r="AP11" s="53"/>
      <c r="AQ11" s="53"/>
      <c r="AR11" s="167" t="e">
        <f t="shared" ref="AR11:AT11" si="19">AO11/AL11</f>
        <v>#DIV/0!</v>
      </c>
      <c r="AS11" s="167" t="e">
        <f t="shared" si="19"/>
        <v>#DIV/0!</v>
      </c>
      <c r="AT11" s="57" t="e">
        <f t="shared" si="19"/>
        <v>#DIV/0!</v>
      </c>
      <c r="AU11" s="177">
        <f t="shared" si="11"/>
        <v>56825</v>
      </c>
      <c r="AV11" s="327">
        <f t="shared" si="12"/>
        <v>1011997</v>
      </c>
      <c r="AW11" s="177">
        <v>1770</v>
      </c>
      <c r="AX11" s="178">
        <v>8475</v>
      </c>
    </row>
    <row r="12" s="26" customFormat="1" ht="23" customHeight="1" spans="1:50">
      <c r="A12" s="52"/>
      <c r="B12" s="52"/>
      <c r="C12" s="53"/>
      <c r="D12" s="53"/>
      <c r="E12" s="53"/>
      <c r="F12" s="53"/>
      <c r="G12" s="54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5"/>
      <c r="T12" s="53">
        <f t="shared" si="15"/>
        <v>0</v>
      </c>
      <c r="U12" s="53">
        <f t="shared" si="16"/>
        <v>0</v>
      </c>
      <c r="V12" s="53" t="e">
        <f t="shared" si="17"/>
        <v>#DIV/0!</v>
      </c>
      <c r="W12" s="56" t="e">
        <f t="shared" si="18"/>
        <v>#DIV/0!</v>
      </c>
      <c r="X12" s="172"/>
      <c r="Y12" s="53"/>
      <c r="Z12" s="53"/>
      <c r="AA12" s="53"/>
      <c r="AB12" s="167" t="e">
        <f t="shared" si="4"/>
        <v>#DIV/0!</v>
      </c>
      <c r="AC12" s="57" t="e">
        <f t="shared" si="5"/>
        <v>#DIV/0!</v>
      </c>
      <c r="AD12" s="168" t="e">
        <f t="shared" si="6"/>
        <v>#DIV/0!</v>
      </c>
      <c r="AE12" s="58" t="e">
        <f t="shared" si="7"/>
        <v>#DIV/0!</v>
      </c>
      <c r="AF12" s="172"/>
      <c r="AG12" s="53"/>
      <c r="AH12" s="53"/>
      <c r="AI12" s="53"/>
      <c r="AJ12" s="167" t="e">
        <f t="shared" si="8"/>
        <v>#DIV/0!</v>
      </c>
      <c r="AK12" s="57" t="e">
        <f t="shared" si="9"/>
        <v>#DIV/0!</v>
      </c>
      <c r="AL12" s="172"/>
      <c r="AM12" s="172"/>
      <c r="AN12" s="53"/>
      <c r="AO12" s="53"/>
      <c r="AP12" s="53"/>
      <c r="AQ12" s="53"/>
      <c r="AR12" s="167" t="e">
        <f t="shared" ref="AR12:AT12" si="20">AO12/AL12</f>
        <v>#DIV/0!</v>
      </c>
      <c r="AS12" s="167" t="e">
        <f t="shared" si="20"/>
        <v>#DIV/0!</v>
      </c>
      <c r="AT12" s="57" t="e">
        <f t="shared" si="20"/>
        <v>#DIV/0!</v>
      </c>
      <c r="AU12" s="177">
        <f t="shared" si="11"/>
        <v>0</v>
      </c>
      <c r="AV12" s="327">
        <f t="shared" si="12"/>
        <v>0</v>
      </c>
      <c r="AW12" s="177"/>
      <c r="AX12" s="178"/>
    </row>
    <row r="13" s="26" customFormat="1" ht="23" customHeight="1" spans="1:50">
      <c r="A13" s="52"/>
      <c r="B13" s="52"/>
      <c r="C13" s="53"/>
      <c r="D13" s="53"/>
      <c r="E13" s="53"/>
      <c r="F13" s="53"/>
      <c r="G13" s="54"/>
      <c r="H13" s="53"/>
      <c r="I13" s="53"/>
      <c r="J13" s="53"/>
      <c r="K13" s="53"/>
      <c r="L13" s="53"/>
      <c r="M13" s="53"/>
      <c r="N13" s="53"/>
      <c r="O13" s="172"/>
      <c r="P13" s="172"/>
      <c r="Q13" s="53"/>
      <c r="R13" s="53"/>
      <c r="S13" s="55"/>
      <c r="T13" s="53">
        <f t="shared" si="15"/>
        <v>0</v>
      </c>
      <c r="U13" s="53">
        <f t="shared" si="16"/>
        <v>0</v>
      </c>
      <c r="V13" s="56" t="e">
        <f t="shared" si="17"/>
        <v>#DIV/0!</v>
      </c>
      <c r="W13" s="56" t="e">
        <f t="shared" si="18"/>
        <v>#DIV/0!</v>
      </c>
      <c r="X13" s="172"/>
      <c r="Y13" s="53"/>
      <c r="Z13" s="53"/>
      <c r="AA13" s="53"/>
      <c r="AB13" s="167" t="e">
        <f t="shared" si="4"/>
        <v>#DIV/0!</v>
      </c>
      <c r="AC13" s="57" t="e">
        <f t="shared" si="5"/>
        <v>#DIV/0!</v>
      </c>
      <c r="AD13" s="168" t="e">
        <f t="shared" si="6"/>
        <v>#DIV/0!</v>
      </c>
      <c r="AE13" s="58" t="e">
        <f t="shared" si="7"/>
        <v>#DIV/0!</v>
      </c>
      <c r="AF13" s="172"/>
      <c r="AG13" s="53"/>
      <c r="AH13" s="53"/>
      <c r="AI13" s="53"/>
      <c r="AJ13" s="167" t="e">
        <f t="shared" si="8"/>
        <v>#DIV/0!</v>
      </c>
      <c r="AK13" s="57" t="e">
        <f t="shared" si="9"/>
        <v>#DIV/0!</v>
      </c>
      <c r="AL13" s="172"/>
      <c r="AM13" s="172"/>
      <c r="AN13" s="53"/>
      <c r="AO13" s="53"/>
      <c r="AP13" s="53"/>
      <c r="AQ13" s="53"/>
      <c r="AR13" s="167" t="e">
        <f t="shared" ref="AR13:AT13" si="21">AO13/AL13</f>
        <v>#DIV/0!</v>
      </c>
      <c r="AS13" s="167" t="e">
        <f t="shared" si="21"/>
        <v>#DIV/0!</v>
      </c>
      <c r="AT13" s="57" t="e">
        <f t="shared" si="21"/>
        <v>#DIV/0!</v>
      </c>
      <c r="AU13" s="177">
        <f t="shared" si="11"/>
        <v>0</v>
      </c>
      <c r="AV13" s="327">
        <f t="shared" si="12"/>
        <v>0</v>
      </c>
      <c r="AW13" s="177"/>
      <c r="AX13" s="178"/>
    </row>
    <row r="14" s="26" customFormat="1" ht="23" customHeight="1" spans="1:50">
      <c r="A14" s="52"/>
      <c r="B14" s="52"/>
      <c r="C14" s="53"/>
      <c r="D14" s="53"/>
      <c r="E14" s="53"/>
      <c r="F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5"/>
      <c r="T14" s="53">
        <f t="shared" si="15"/>
        <v>0</v>
      </c>
      <c r="U14" s="53">
        <f t="shared" si="16"/>
        <v>0</v>
      </c>
      <c r="V14" s="53" t="e">
        <f t="shared" si="17"/>
        <v>#DIV/0!</v>
      </c>
      <c r="W14" s="56" t="e">
        <f t="shared" si="18"/>
        <v>#DIV/0!</v>
      </c>
      <c r="X14" s="172"/>
      <c r="Y14" s="53"/>
      <c r="Z14" s="53"/>
      <c r="AA14" s="53"/>
      <c r="AB14" s="167" t="e">
        <f t="shared" si="4"/>
        <v>#DIV/0!</v>
      </c>
      <c r="AC14" s="57" t="e">
        <f t="shared" si="5"/>
        <v>#DIV/0!</v>
      </c>
      <c r="AD14" s="168" t="e">
        <f t="shared" si="6"/>
        <v>#DIV/0!</v>
      </c>
      <c r="AE14" s="58" t="e">
        <f t="shared" si="7"/>
        <v>#DIV/0!</v>
      </c>
      <c r="AF14" s="172"/>
      <c r="AG14" s="53"/>
      <c r="AH14" s="53"/>
      <c r="AI14" s="53"/>
      <c r="AJ14" s="167" t="e">
        <f t="shared" si="8"/>
        <v>#DIV/0!</v>
      </c>
      <c r="AK14" s="57" t="e">
        <f t="shared" si="9"/>
        <v>#DIV/0!</v>
      </c>
      <c r="AL14" s="172"/>
      <c r="AM14" s="172"/>
      <c r="AN14" s="53"/>
      <c r="AO14" s="53"/>
      <c r="AP14" s="53"/>
      <c r="AQ14" s="53"/>
      <c r="AR14" s="167" t="e">
        <f t="shared" ref="AR14:AT14" si="22">AO14/AL14</f>
        <v>#DIV/0!</v>
      </c>
      <c r="AS14" s="167" t="e">
        <f t="shared" si="22"/>
        <v>#DIV/0!</v>
      </c>
      <c r="AT14" s="57" t="e">
        <f t="shared" si="22"/>
        <v>#DIV/0!</v>
      </c>
      <c r="AU14" s="177">
        <f t="shared" si="11"/>
        <v>0</v>
      </c>
      <c r="AV14" s="327">
        <f t="shared" si="12"/>
        <v>0</v>
      </c>
      <c r="AW14" s="177"/>
      <c r="AX14" s="178"/>
    </row>
    <row r="15" s="26" customFormat="1" ht="23" customHeight="1" spans="1:50">
      <c r="A15" s="52"/>
      <c r="B15" s="52"/>
      <c r="C15" s="53"/>
      <c r="D15" s="53"/>
      <c r="E15" s="53"/>
      <c r="F15" s="53"/>
      <c r="G15" s="54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4"/>
      <c r="T15" s="53">
        <f t="shared" si="15"/>
        <v>0</v>
      </c>
      <c r="U15" s="53">
        <f t="shared" si="16"/>
        <v>0</v>
      </c>
      <c r="V15" s="53" t="e">
        <f t="shared" si="17"/>
        <v>#DIV/0!</v>
      </c>
      <c r="W15" s="56" t="e">
        <f t="shared" si="18"/>
        <v>#DIV/0!</v>
      </c>
      <c r="X15" s="172"/>
      <c r="Y15" s="53"/>
      <c r="Z15" s="53"/>
      <c r="AA15" s="53"/>
      <c r="AB15" s="167" t="e">
        <f t="shared" si="4"/>
        <v>#DIV/0!</v>
      </c>
      <c r="AC15" s="57" t="e">
        <f t="shared" si="5"/>
        <v>#DIV/0!</v>
      </c>
      <c r="AD15" s="168" t="e">
        <f t="shared" si="6"/>
        <v>#DIV/0!</v>
      </c>
      <c r="AE15" s="58" t="e">
        <f t="shared" si="7"/>
        <v>#DIV/0!</v>
      </c>
      <c r="AF15" s="169"/>
      <c r="AG15" s="53"/>
      <c r="AH15" s="53"/>
      <c r="AI15" s="53"/>
      <c r="AJ15" s="53" t="e">
        <f t="shared" si="8"/>
        <v>#DIV/0!</v>
      </c>
      <c r="AK15" s="56" t="e">
        <f t="shared" si="9"/>
        <v>#DIV/0!</v>
      </c>
      <c r="AL15" s="169"/>
      <c r="AM15" s="323"/>
      <c r="AN15" s="53"/>
      <c r="AO15" s="53"/>
      <c r="AP15" s="53"/>
      <c r="AQ15" s="53"/>
      <c r="AR15" s="167" t="e">
        <f t="shared" ref="AR15:AT15" si="23">AO15/AL15</f>
        <v>#DIV/0!</v>
      </c>
      <c r="AS15" s="167" t="e">
        <f t="shared" si="23"/>
        <v>#DIV/0!</v>
      </c>
      <c r="AT15" s="57" t="e">
        <f t="shared" si="23"/>
        <v>#DIV/0!</v>
      </c>
      <c r="AU15" s="177">
        <f t="shared" si="11"/>
        <v>0</v>
      </c>
      <c r="AV15" s="327">
        <f t="shared" si="12"/>
        <v>0</v>
      </c>
      <c r="AW15" s="177"/>
      <c r="AX15" s="178"/>
    </row>
    <row r="16" s="26" customFormat="1" ht="23" customHeight="1" spans="1:50">
      <c r="A16" s="52"/>
      <c r="B16" s="52"/>
      <c r="C16" s="53"/>
      <c r="D16" s="53"/>
      <c r="E16" s="53"/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172"/>
      <c r="T16" s="53">
        <f t="shared" si="15"/>
        <v>0</v>
      </c>
      <c r="U16" s="53">
        <f t="shared" si="16"/>
        <v>0</v>
      </c>
      <c r="V16" s="53" t="e">
        <f t="shared" si="17"/>
        <v>#DIV/0!</v>
      </c>
      <c r="W16" s="56" t="e">
        <f t="shared" si="18"/>
        <v>#DIV/0!</v>
      </c>
      <c r="X16" s="176"/>
      <c r="Y16" s="53"/>
      <c r="Z16" s="53"/>
      <c r="AA16" s="53"/>
      <c r="AB16" s="167" t="e">
        <f t="shared" si="4"/>
        <v>#DIV/0!</v>
      </c>
      <c r="AC16" s="57" t="e">
        <f t="shared" si="5"/>
        <v>#DIV/0!</v>
      </c>
      <c r="AD16" s="168" t="e">
        <f t="shared" si="6"/>
        <v>#DIV/0!</v>
      </c>
      <c r="AE16" s="58" t="e">
        <f t="shared" si="7"/>
        <v>#DIV/0!</v>
      </c>
      <c r="AF16" s="169"/>
      <c r="AG16" s="53"/>
      <c r="AH16" s="53"/>
      <c r="AI16" s="53"/>
      <c r="AJ16" s="53" t="e">
        <f t="shared" si="8"/>
        <v>#DIV/0!</v>
      </c>
      <c r="AK16" s="53" t="e">
        <f t="shared" si="9"/>
        <v>#DIV/0!</v>
      </c>
      <c r="AL16" s="169"/>
      <c r="AM16" s="323"/>
      <c r="AN16" s="53"/>
      <c r="AO16" s="53"/>
      <c r="AP16" s="53"/>
      <c r="AQ16" s="53"/>
      <c r="AR16" s="167" t="e">
        <f t="shared" ref="AR16:AT16" si="24">AO16/AL16</f>
        <v>#DIV/0!</v>
      </c>
      <c r="AS16" s="167" t="e">
        <f t="shared" si="24"/>
        <v>#DIV/0!</v>
      </c>
      <c r="AT16" s="170" t="e">
        <f t="shared" si="24"/>
        <v>#DIV/0!</v>
      </c>
      <c r="AU16" s="177">
        <f t="shared" si="11"/>
        <v>0</v>
      </c>
      <c r="AV16" s="327">
        <f t="shared" si="12"/>
        <v>0</v>
      </c>
      <c r="AW16" s="177"/>
      <c r="AX16" s="178"/>
    </row>
    <row r="17" s="26" customFormat="1" ht="23" customHeight="1" spans="1:50">
      <c r="A17" s="52"/>
      <c r="B17" s="52"/>
      <c r="C17" s="53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5"/>
      <c r="T17" s="53">
        <f t="shared" si="15"/>
        <v>0</v>
      </c>
      <c r="U17" s="53">
        <f t="shared" si="16"/>
        <v>0</v>
      </c>
      <c r="V17" s="53" t="e">
        <f t="shared" si="17"/>
        <v>#DIV/0!</v>
      </c>
      <c r="W17" s="56" t="e">
        <f t="shared" si="18"/>
        <v>#DIV/0!</v>
      </c>
      <c r="X17" s="172"/>
      <c r="Y17" s="53"/>
      <c r="Z17" s="53"/>
      <c r="AA17" s="53"/>
      <c r="AB17" s="167" t="e">
        <f t="shared" si="4"/>
        <v>#DIV/0!</v>
      </c>
      <c r="AC17" s="57" t="e">
        <f t="shared" si="5"/>
        <v>#DIV/0!</v>
      </c>
      <c r="AD17" s="168" t="e">
        <f t="shared" si="6"/>
        <v>#DIV/0!</v>
      </c>
      <c r="AE17" s="58" t="e">
        <f t="shared" si="7"/>
        <v>#DIV/0!</v>
      </c>
      <c r="AF17" s="169"/>
      <c r="AG17" s="53"/>
      <c r="AH17" s="53"/>
      <c r="AI17" s="53"/>
      <c r="AJ17" s="53" t="e">
        <f t="shared" si="8"/>
        <v>#DIV/0!</v>
      </c>
      <c r="AK17" s="53" t="e">
        <f t="shared" si="9"/>
        <v>#DIV/0!</v>
      </c>
      <c r="AL17" s="169"/>
      <c r="AM17" s="323"/>
      <c r="AN17" s="53"/>
      <c r="AO17" s="53"/>
      <c r="AP17" s="53"/>
      <c r="AQ17" s="53"/>
      <c r="AR17" s="167" t="e">
        <f t="shared" ref="AR17:AT17" si="25">AO17/AL17</f>
        <v>#DIV/0!</v>
      </c>
      <c r="AS17" s="167" t="e">
        <f t="shared" si="25"/>
        <v>#DIV/0!</v>
      </c>
      <c r="AT17" s="170" t="e">
        <f t="shared" si="25"/>
        <v>#DIV/0!</v>
      </c>
      <c r="AU17" s="177">
        <f t="shared" si="11"/>
        <v>0</v>
      </c>
      <c r="AV17" s="327">
        <f t="shared" si="12"/>
        <v>0</v>
      </c>
      <c r="AW17" s="177"/>
      <c r="AX17" s="178"/>
    </row>
    <row r="18" s="26" customFormat="1" ht="29" customHeight="1" spans="1:50">
      <c r="A18" s="59" t="s">
        <v>43</v>
      </c>
      <c r="B18" s="59">
        <f t="shared" ref="B18:U18" si="26">SUM(B6:B17)</f>
        <v>4921</v>
      </c>
      <c r="C18" s="59">
        <f t="shared" si="26"/>
        <v>182197</v>
      </c>
      <c r="D18" s="59">
        <f t="shared" si="26"/>
        <v>67559</v>
      </c>
      <c r="E18" s="59">
        <f t="shared" si="26"/>
        <v>3184604</v>
      </c>
      <c r="F18" s="59">
        <f t="shared" si="26"/>
        <v>0</v>
      </c>
      <c r="G18" s="59">
        <f t="shared" si="26"/>
        <v>0</v>
      </c>
      <c r="H18" s="59">
        <f t="shared" si="26"/>
        <v>30000</v>
      </c>
      <c r="I18" s="59">
        <f t="shared" si="26"/>
        <v>255000</v>
      </c>
      <c r="J18" s="59">
        <f t="shared" si="26"/>
        <v>40</v>
      </c>
      <c r="K18" s="59">
        <f t="shared" si="26"/>
        <v>690</v>
      </c>
      <c r="L18" s="59">
        <f t="shared" si="26"/>
        <v>31200</v>
      </c>
      <c r="M18" s="59">
        <f t="shared" si="26"/>
        <v>127754</v>
      </c>
      <c r="N18" s="59">
        <f t="shared" si="26"/>
        <v>530400</v>
      </c>
      <c r="O18" s="59">
        <f t="shared" si="26"/>
        <v>3162204</v>
      </c>
      <c r="P18" s="59">
        <f t="shared" si="26"/>
        <v>14944</v>
      </c>
      <c r="Q18" s="59">
        <f t="shared" si="26"/>
        <v>132024</v>
      </c>
      <c r="R18" s="59">
        <f t="shared" si="26"/>
        <v>258188</v>
      </c>
      <c r="S18" s="59">
        <f t="shared" si="26"/>
        <v>2992435</v>
      </c>
      <c r="T18" s="60">
        <f t="shared" si="26"/>
        <v>523080</v>
      </c>
      <c r="U18" s="60">
        <f t="shared" si="26"/>
        <v>10458880</v>
      </c>
      <c r="V18" s="62">
        <f t="shared" si="17"/>
        <v>16.7658278664447</v>
      </c>
      <c r="W18" s="62">
        <f t="shared" si="18"/>
        <v>21.1307042253521</v>
      </c>
      <c r="X18" s="62">
        <f t="shared" ref="X18:AA18" si="27">SUM(X6:X17)</f>
        <v>2037</v>
      </c>
      <c r="Y18" s="60">
        <f t="shared" si="27"/>
        <v>80778</v>
      </c>
      <c r="Z18" s="60">
        <f t="shared" si="27"/>
        <v>25560</v>
      </c>
      <c r="AA18" s="60">
        <f t="shared" si="27"/>
        <v>1129817</v>
      </c>
      <c r="AB18" s="184">
        <f t="shared" si="4"/>
        <v>12.5478645066274</v>
      </c>
      <c r="AC18" s="63">
        <f t="shared" si="5"/>
        <v>13.9866919210676</v>
      </c>
      <c r="AD18" s="184">
        <f t="shared" si="6"/>
        <v>16.6040262137019</v>
      </c>
      <c r="AE18" s="64">
        <f t="shared" si="7"/>
        <v>20.0267812905904</v>
      </c>
      <c r="AF18" s="62">
        <f t="shared" ref="AF18:AI18" si="28">SUM(AF6:AF17)</f>
        <v>0</v>
      </c>
      <c r="AG18" s="60">
        <f t="shared" si="28"/>
        <v>0</v>
      </c>
      <c r="AH18" s="60">
        <f t="shared" si="28"/>
        <v>0</v>
      </c>
      <c r="AI18" s="60">
        <f t="shared" si="28"/>
        <v>0</v>
      </c>
      <c r="AJ18" s="184" t="e">
        <f t="shared" si="8"/>
        <v>#DIV/0!</v>
      </c>
      <c r="AK18" s="63" t="e">
        <f t="shared" si="9"/>
        <v>#DIV/0!</v>
      </c>
      <c r="AL18" s="62">
        <f t="shared" ref="AL18:AT18" si="29">SUM(AL6:AL17)</f>
        <v>0</v>
      </c>
      <c r="AM18" s="62">
        <f t="shared" si="29"/>
        <v>0</v>
      </c>
      <c r="AN18" s="62">
        <f t="shared" si="29"/>
        <v>0</v>
      </c>
      <c r="AO18" s="62">
        <f t="shared" si="29"/>
        <v>0</v>
      </c>
      <c r="AP18" s="62">
        <f t="shared" si="29"/>
        <v>0</v>
      </c>
      <c r="AQ18" s="62">
        <f t="shared" si="29"/>
        <v>0</v>
      </c>
      <c r="AR18" s="62" t="e">
        <f t="shared" si="29"/>
        <v>#DIV/0!</v>
      </c>
      <c r="AS18" s="62" t="e">
        <f t="shared" si="29"/>
        <v>#DIV/0!</v>
      </c>
      <c r="AT18" s="63" t="e">
        <f t="shared" si="29"/>
        <v>#DIV/0!</v>
      </c>
      <c r="AU18" s="244">
        <f t="shared" si="11"/>
        <v>605895</v>
      </c>
      <c r="AV18" s="327">
        <f t="shared" si="12"/>
        <v>11614257</v>
      </c>
      <c r="AW18" s="244">
        <f>SUM(AW6:AW17)</f>
        <v>8988</v>
      </c>
      <c r="AX18" s="244">
        <f>SUM(AX6:AX17)</f>
        <v>63385</v>
      </c>
    </row>
    <row r="19" customFormat="1" spans="1:5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28"/>
      <c r="Y19" s="27"/>
      <c r="Z19" s="27"/>
      <c r="AA19" s="27"/>
      <c r="AB19" s="27"/>
      <c r="AC19" s="28"/>
      <c r="AD19" s="28"/>
      <c r="AE19" s="28"/>
      <c r="AF19" s="28"/>
      <c r="AG19" s="27"/>
      <c r="AH19" s="27"/>
      <c r="AI19" s="27"/>
      <c r="AJ19" s="27"/>
      <c r="AK19" s="28"/>
      <c r="AL19" s="28"/>
      <c r="AM19" s="28"/>
      <c r="AN19" s="27"/>
      <c r="AO19" s="27"/>
      <c r="AP19" s="27"/>
      <c r="AQ19" s="27"/>
      <c r="AR19" s="27"/>
      <c r="AS19" s="27"/>
      <c r="AT19" s="28"/>
      <c r="AU19" s="202"/>
      <c r="AV19" s="329"/>
    </row>
    <row r="26" spans="1:50">
      <c r="X26" s="28">
        <f>T18+X18+Y18+AF18+AG18+AL18+AM18+AN18</f>
        <v>605895</v>
      </c>
    </row>
  </sheetData>
  <mergeCells count="40">
    <mergeCell ref="A1:AC1"/>
    <mergeCell ref="C2:W2"/>
    <mergeCell ref="Y2:AC2"/>
    <mergeCell ref="AG2:AK2"/>
    <mergeCell ref="AL2:AT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AU2:AU5"/>
    <mergeCell ref="AV2:AV5"/>
    <mergeCell ref="AW2:AW5"/>
    <mergeCell ref="AX2:AX5"/>
    <mergeCell ref="AD2:AE4"/>
    <mergeCell ref="V3:W4"/>
    <mergeCell ref="X3:Y4"/>
    <mergeCell ref="Z3:AA4"/>
    <mergeCell ref="AB3:AC4"/>
    <mergeCell ref="AF3:AG4"/>
    <mergeCell ref="AH3:AI4"/>
    <mergeCell ref="AJ3:AK4"/>
    <mergeCell ref="AL3:AN4"/>
    <mergeCell ref="AO3:AQ4"/>
    <mergeCell ref="AR3:AT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8"/>
  <sheetViews>
    <sheetView workbookViewId="0">
      <selection activeCell="B12" sqref="B12"/>
    </sheetView>
  </sheetViews>
  <sheetFormatPr defaultColWidth="9" defaultRowHeight="15.6"/>
  <cols>
    <col min="1" max="1" width="12.25" style="27" customWidth="1"/>
    <col min="2" max="5" width="9.875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11.375" style="27" customWidth="1"/>
    <col min="16" max="16" width="7.775" style="27" customWidth="1"/>
    <col min="17" max="18" width="8.125" style="27" customWidth="1"/>
    <col min="19" max="19" width="23.75" style="27" customWidth="1"/>
    <col min="20" max="21" width="9.375" style="27" customWidth="1"/>
    <col min="22" max="22" width="13.8916666666667" style="27" customWidth="1"/>
    <col min="23" max="23" width="8.875" style="28" customWidth="1"/>
    <col min="24" max="24" width="9.5" style="28" customWidth="1"/>
    <col min="25" max="26" width="8.875" style="27" customWidth="1"/>
    <col min="27" max="27" width="10.75" style="27" customWidth="1"/>
    <col min="28" max="28" width="8.60833333333333" style="27" customWidth="1"/>
    <col min="29" max="29" width="16.125" style="28" customWidth="1"/>
    <col min="30" max="30" width="8.875" style="28" customWidth="1"/>
    <col min="31" max="31" width="13.625" style="28" customWidth="1"/>
    <col min="34" max="34" width="10.375"/>
    <col min="37" max="37" width="16.625" customWidth="1"/>
    <col min="44" max="46" width="12.625"/>
    <col min="47" max="47" width="16.5" customWidth="1"/>
    <col min="48" max="48" width="18.25" customWidth="1"/>
    <col min="49" max="49" width="16" customWidth="1"/>
    <col min="50" max="50" width="18.5" customWidth="1"/>
  </cols>
  <sheetData>
    <row r="1" customFormat="1" ht="30" customHeight="1" spans="1:50">
      <c r="A1" s="29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</row>
    <row r="2" s="24" customFormat="1" ht="27" customHeight="1" spans="1:50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26"/>
      <c r="AG2" s="33" t="s">
        <v>5</v>
      </c>
      <c r="AH2" s="33"/>
      <c r="AI2" s="33"/>
      <c r="AJ2" s="33"/>
      <c r="AK2" s="34"/>
      <c r="AL2" s="33" t="s">
        <v>6</v>
      </c>
      <c r="AM2" s="33"/>
      <c r="AN2" s="33"/>
      <c r="AO2" s="33"/>
      <c r="AP2" s="33"/>
      <c r="AQ2" s="33"/>
      <c r="AR2" s="33"/>
      <c r="AS2" s="33"/>
      <c r="AT2" s="33"/>
      <c r="AU2" s="307" t="s">
        <v>7</v>
      </c>
      <c r="AV2" s="308" t="s">
        <v>8</v>
      </c>
      <c r="AW2" s="307" t="s">
        <v>9</v>
      </c>
      <c r="AX2" s="308" t="s">
        <v>10</v>
      </c>
    </row>
    <row r="3" s="25" customFormat="1" ht="27" customHeight="1" spans="1:50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9" t="s">
        <v>20</v>
      </c>
      <c r="AG3" s="140"/>
      <c r="AH3" s="140" t="s">
        <v>21</v>
      </c>
      <c r="AI3" s="140"/>
      <c r="AJ3" s="41" t="s">
        <v>22</v>
      </c>
      <c r="AK3" s="141"/>
      <c r="AL3" s="140" t="s">
        <v>23</v>
      </c>
      <c r="AM3" s="140"/>
      <c r="AN3" s="140"/>
      <c r="AO3" s="140" t="s">
        <v>24</v>
      </c>
      <c r="AP3" s="140"/>
      <c r="AQ3" s="140"/>
      <c r="AR3" s="41" t="s">
        <v>25</v>
      </c>
      <c r="AS3" s="41"/>
      <c r="AT3" s="41"/>
      <c r="AU3" s="176"/>
      <c r="AV3" s="268"/>
      <c r="AW3" s="176"/>
      <c r="AX3" s="268"/>
    </row>
    <row r="4" s="25" customFormat="1" ht="36" customHeight="1" spans="1:50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39"/>
      <c r="AG4" s="140"/>
      <c r="AH4" s="140"/>
      <c r="AI4" s="140"/>
      <c r="AJ4" s="41"/>
      <c r="AK4" s="141"/>
      <c r="AL4" s="140"/>
      <c r="AM4" s="140"/>
      <c r="AN4" s="140"/>
      <c r="AO4" s="140"/>
      <c r="AP4" s="140"/>
      <c r="AQ4" s="140"/>
      <c r="AR4" s="41"/>
      <c r="AS4" s="41"/>
      <c r="AT4" s="41"/>
      <c r="AU4" s="176"/>
      <c r="AV4" s="268"/>
      <c r="AW4" s="176"/>
      <c r="AX4" s="268"/>
    </row>
    <row r="5" s="25" customFormat="1" ht="22" customHeight="1" spans="1:50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1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163" t="s">
        <v>28</v>
      </c>
      <c r="AG5" s="49" t="s">
        <v>29</v>
      </c>
      <c r="AH5" s="41" t="s">
        <v>28</v>
      </c>
      <c r="AI5" s="140" t="s">
        <v>29</v>
      </c>
      <c r="AJ5" s="164" t="s">
        <v>28</v>
      </c>
      <c r="AK5" s="141" t="s">
        <v>29</v>
      </c>
      <c r="AL5" s="165">
        <v>2.8</v>
      </c>
      <c r="AM5" s="165">
        <v>3</v>
      </c>
      <c r="AN5" s="166">
        <v>3.5</v>
      </c>
      <c r="AO5" s="165">
        <v>2.8</v>
      </c>
      <c r="AP5" s="165">
        <v>3</v>
      </c>
      <c r="AQ5" s="166">
        <v>3.5</v>
      </c>
      <c r="AR5" s="165">
        <v>2.8</v>
      </c>
      <c r="AS5" s="165">
        <v>3</v>
      </c>
      <c r="AT5" s="166">
        <v>3.5</v>
      </c>
      <c r="AU5" s="176"/>
      <c r="AV5" s="268"/>
      <c r="AW5" s="176"/>
      <c r="AX5" s="268"/>
    </row>
    <row r="6" s="26" customFormat="1" ht="23" customHeight="1" spans="1:50">
      <c r="A6" s="52" t="s">
        <v>45</v>
      </c>
      <c r="B6" s="52"/>
      <c r="C6" s="53">
        <v>25134</v>
      </c>
      <c r="D6" s="53"/>
      <c r="E6" s="53">
        <f>400906-8910</f>
        <v>391996</v>
      </c>
      <c r="F6" s="53"/>
      <c r="G6" s="54"/>
      <c r="H6" s="53"/>
      <c r="I6" s="53"/>
      <c r="J6" s="53"/>
      <c r="K6" s="53"/>
      <c r="L6" s="53"/>
      <c r="M6" s="53">
        <v>71402</v>
      </c>
      <c r="N6" s="53"/>
      <c r="O6" s="53">
        <v>1831000</v>
      </c>
      <c r="P6" s="53"/>
      <c r="Q6" s="53"/>
      <c r="R6" s="53"/>
      <c r="S6" s="54"/>
      <c r="T6" s="53">
        <f t="shared" ref="T6:T17" si="0">C6+F6+H6+J6+M6+Q6+B6+L6+P6</f>
        <v>96536</v>
      </c>
      <c r="U6" s="53">
        <f t="shared" ref="U6:U17" si="1">E6+G6+I6+K6+O6+S6+D6+N6+R6</f>
        <v>2222996</v>
      </c>
      <c r="V6" s="53" t="e">
        <f t="shared" ref="V6:V18" si="2">(D6+N6+R6)/(B6+L6+P6)</f>
        <v>#DIV/0!</v>
      </c>
      <c r="W6" s="56">
        <f t="shared" ref="W6:W18" si="3">(E6+O6+S6)/(C6+M6+Q6)</f>
        <v>23.027637358084</v>
      </c>
      <c r="X6" s="56"/>
      <c r="Y6" s="53">
        <v>14739</v>
      </c>
      <c r="Z6" s="53"/>
      <c r="AA6" s="53">
        <v>180866</v>
      </c>
      <c r="AB6" s="167" t="e">
        <f t="shared" ref="AB6:AB18" si="4">Z6/X6</f>
        <v>#DIV/0!</v>
      </c>
      <c r="AC6" s="57">
        <f t="shared" ref="AC6:AC18" si="5">AA6/Y6</f>
        <v>12.2712531379334</v>
      </c>
      <c r="AD6" s="168" t="e">
        <f t="shared" ref="AD6:AD18" si="6">(D6+N6+R6+Z6)/(B6+L6+P6+X6)</f>
        <v>#DIV/0!</v>
      </c>
      <c r="AE6" s="58">
        <f t="shared" ref="AE6:AE18" si="7">(E6+O6+S6+AA6)/(C6+M6+Q6+Y6)</f>
        <v>21.6028937317457</v>
      </c>
      <c r="AF6" s="169"/>
      <c r="AG6" s="53"/>
      <c r="AH6" s="53"/>
      <c r="AI6" s="53"/>
      <c r="AJ6" s="53" t="e">
        <f t="shared" ref="AJ6:AJ18" si="8">AH6/AF6</f>
        <v>#DIV/0!</v>
      </c>
      <c r="AK6" s="170" t="e">
        <f t="shared" ref="AK6:AK18" si="9">AI6/AG6</f>
        <v>#DIV/0!</v>
      </c>
      <c r="AL6" s="171"/>
      <c r="AM6" s="171"/>
      <c r="AN6" s="171"/>
      <c r="AO6" s="171"/>
      <c r="AP6" s="171"/>
      <c r="AQ6" s="171"/>
      <c r="AR6" s="171"/>
      <c r="AS6" s="171"/>
      <c r="AT6" s="171"/>
      <c r="AU6" s="177">
        <f t="shared" ref="AU6:AU10" si="10">T6+X6+Y6+AF6+AG6+AL6+AM6+AN6</f>
        <v>111275</v>
      </c>
      <c r="AV6" s="178">
        <f t="shared" ref="AV6:AV10" si="11">U6+Z6+AA6+AH6+AI6+AO6+AP6+AQ6</f>
        <v>2403862</v>
      </c>
      <c r="AW6" s="177">
        <v>820</v>
      </c>
      <c r="AX6" s="178">
        <v>10020</v>
      </c>
    </row>
    <row r="7" s="26" customFormat="1" ht="23" customHeight="1" spans="1:50">
      <c r="A7" s="52" t="s">
        <v>38</v>
      </c>
      <c r="B7" s="52"/>
      <c r="C7" s="53">
        <v>13835</v>
      </c>
      <c r="D7" s="53"/>
      <c r="E7" s="53">
        <f>201151-24095</f>
        <v>177056</v>
      </c>
      <c r="F7" s="53"/>
      <c r="G7" s="54"/>
      <c r="H7" s="53"/>
      <c r="I7" s="53"/>
      <c r="J7" s="53"/>
      <c r="K7" s="53"/>
      <c r="L7" s="53"/>
      <c r="M7" s="53">
        <v>34560</v>
      </c>
      <c r="N7" s="53"/>
      <c r="O7" s="53">
        <v>879760</v>
      </c>
      <c r="P7" s="53"/>
      <c r="Q7" s="53">
        <v>1240</v>
      </c>
      <c r="R7" s="53"/>
      <c r="S7" s="53">
        <f>58619-27560</f>
        <v>31059</v>
      </c>
      <c r="T7" s="53">
        <f t="shared" si="0"/>
        <v>49635</v>
      </c>
      <c r="U7" s="53">
        <f t="shared" si="1"/>
        <v>1087875</v>
      </c>
      <c r="V7" s="53" t="e">
        <f t="shared" si="2"/>
        <v>#DIV/0!</v>
      </c>
      <c r="W7" s="56">
        <f t="shared" si="3"/>
        <v>21.9174977334542</v>
      </c>
      <c r="X7" s="56"/>
      <c r="Y7" s="53">
        <v>11771</v>
      </c>
      <c r="Z7" s="53"/>
      <c r="AA7" s="53">
        <f>92904-507</f>
        <v>92397</v>
      </c>
      <c r="AB7" s="167" t="e">
        <f t="shared" si="4"/>
        <v>#DIV/0!</v>
      </c>
      <c r="AC7" s="57">
        <f t="shared" si="5"/>
        <v>7.84954549316116</v>
      </c>
      <c r="AD7" s="168" t="e">
        <f t="shared" si="6"/>
        <v>#DIV/0!</v>
      </c>
      <c r="AE7" s="58">
        <f t="shared" si="7"/>
        <v>19.2207927564082</v>
      </c>
      <c r="AF7" s="56"/>
      <c r="AG7" s="53"/>
      <c r="AH7" s="53"/>
      <c r="AI7" s="53"/>
      <c r="AJ7" s="167" t="e">
        <f t="shared" si="8"/>
        <v>#DIV/0!</v>
      </c>
      <c r="AK7" s="169" t="e">
        <f t="shared" si="9"/>
        <v>#DIV/0!</v>
      </c>
      <c r="AL7" s="56"/>
      <c r="AM7" s="56"/>
      <c r="AN7" s="53"/>
      <c r="AO7" s="53"/>
      <c r="AP7" s="53"/>
      <c r="AQ7" s="53"/>
      <c r="AR7" s="53" t="e">
        <f t="shared" ref="AR7:AT7" si="12">AO7/AL7</f>
        <v>#DIV/0!</v>
      </c>
      <c r="AS7" s="53" t="e">
        <f t="shared" si="12"/>
        <v>#DIV/0!</v>
      </c>
      <c r="AT7" s="56" t="e">
        <f t="shared" si="12"/>
        <v>#DIV/0!</v>
      </c>
      <c r="AU7" s="177">
        <f t="shared" si="10"/>
        <v>61406</v>
      </c>
      <c r="AV7" s="178">
        <f t="shared" si="11"/>
        <v>1180272</v>
      </c>
      <c r="AW7" s="177">
        <v>4654</v>
      </c>
      <c r="AX7" s="178">
        <v>24602</v>
      </c>
    </row>
    <row r="8" s="26" customFormat="1" ht="23" customHeight="1" spans="1:50">
      <c r="A8" s="52" t="s">
        <v>39</v>
      </c>
      <c r="B8" s="52"/>
      <c r="C8" s="53">
        <v>24964</v>
      </c>
      <c r="D8" s="53"/>
      <c r="E8" s="53">
        <f>426350-4500</f>
        <v>421850</v>
      </c>
      <c r="F8" s="53"/>
      <c r="G8" s="53"/>
      <c r="H8" s="53">
        <v>30000</v>
      </c>
      <c r="I8" s="53">
        <f>258900-3900</f>
        <v>255000</v>
      </c>
      <c r="J8" s="53"/>
      <c r="K8" s="53"/>
      <c r="L8" s="53"/>
      <c r="M8" s="53"/>
      <c r="N8" s="53"/>
      <c r="O8" s="53"/>
      <c r="P8" s="53"/>
      <c r="Q8" s="53">
        <v>320</v>
      </c>
      <c r="R8" s="53"/>
      <c r="S8" s="55">
        <v>8320</v>
      </c>
      <c r="T8" s="53">
        <f t="shared" si="0"/>
        <v>55284</v>
      </c>
      <c r="U8" s="53">
        <f t="shared" si="1"/>
        <v>685170</v>
      </c>
      <c r="V8" s="53" t="e">
        <f t="shared" si="2"/>
        <v>#DIV/0!</v>
      </c>
      <c r="W8" s="56">
        <f t="shared" si="3"/>
        <v>17.0135263407689</v>
      </c>
      <c r="X8" s="56"/>
      <c r="Y8" s="53">
        <v>6934</v>
      </c>
      <c r="Z8" s="53"/>
      <c r="AA8" s="53">
        <f>109224-368</f>
        <v>108856</v>
      </c>
      <c r="AB8" s="167" t="e">
        <f t="shared" si="4"/>
        <v>#DIV/0!</v>
      </c>
      <c r="AC8" s="57">
        <f t="shared" si="5"/>
        <v>15.6988751081627</v>
      </c>
      <c r="AD8" s="168" t="e">
        <f t="shared" si="6"/>
        <v>#DIV/0!</v>
      </c>
      <c r="AE8" s="58">
        <f t="shared" si="7"/>
        <v>16.7305853870507</v>
      </c>
      <c r="AF8" s="56"/>
      <c r="AG8" s="53"/>
      <c r="AH8" s="53"/>
      <c r="AI8" s="53"/>
      <c r="AJ8" s="167" t="e">
        <f t="shared" si="8"/>
        <v>#DIV/0!</v>
      </c>
      <c r="AK8" s="169" t="e">
        <f t="shared" si="9"/>
        <v>#DIV/0!</v>
      </c>
      <c r="AL8" s="171"/>
      <c r="AM8" s="171"/>
      <c r="AN8" s="171"/>
      <c r="AO8" s="171"/>
      <c r="AP8" s="171"/>
      <c r="AQ8" s="171"/>
      <c r="AR8" s="171"/>
      <c r="AS8" s="171"/>
      <c r="AT8" s="171"/>
      <c r="AU8" s="177">
        <f t="shared" si="10"/>
        <v>62218</v>
      </c>
      <c r="AV8" s="178">
        <f t="shared" si="11"/>
        <v>794026</v>
      </c>
      <c r="AW8" s="227">
        <v>406</v>
      </c>
      <c r="AX8" s="326">
        <v>4868</v>
      </c>
    </row>
    <row r="9" s="26" customFormat="1" ht="23" customHeight="1" spans="1:50">
      <c r="A9" s="52" t="s">
        <v>40</v>
      </c>
      <c r="B9" s="52">
        <v>2462</v>
      </c>
      <c r="C9" s="53">
        <v>23352</v>
      </c>
      <c r="D9" s="53">
        <v>32251</v>
      </c>
      <c r="E9" s="53">
        <v>403004</v>
      </c>
      <c r="F9" s="53"/>
      <c r="G9" s="54"/>
      <c r="H9" s="53"/>
      <c r="I9" s="53"/>
      <c r="J9" s="53"/>
      <c r="K9" s="53"/>
      <c r="L9" s="53">
        <v>31200</v>
      </c>
      <c r="M9" s="53"/>
      <c r="N9" s="53">
        <v>530400</v>
      </c>
      <c r="O9" s="53"/>
      <c r="P9" s="53">
        <v>560</v>
      </c>
      <c r="Q9" s="53">
        <v>300</v>
      </c>
      <c r="R9" s="53">
        <v>13660</v>
      </c>
      <c r="S9" s="54" t="s">
        <v>41</v>
      </c>
      <c r="T9" s="53">
        <f t="shared" si="0"/>
        <v>57874</v>
      </c>
      <c r="U9" s="53">
        <f t="shared" si="1"/>
        <v>987115</v>
      </c>
      <c r="V9" s="56">
        <f t="shared" si="2"/>
        <v>16.8403658465315</v>
      </c>
      <c r="W9" s="56">
        <f t="shared" si="3"/>
        <v>17.3686791814646</v>
      </c>
      <c r="X9" s="172">
        <v>1038</v>
      </c>
      <c r="Y9" s="53">
        <v>9151</v>
      </c>
      <c r="Z9" s="53">
        <v>13374</v>
      </c>
      <c r="AA9" s="53">
        <v>134558</v>
      </c>
      <c r="AB9" s="168">
        <f t="shared" si="4"/>
        <v>12.8843930635838</v>
      </c>
      <c r="AC9" s="57">
        <f t="shared" si="5"/>
        <v>14.7041853349361</v>
      </c>
      <c r="AD9" s="168">
        <f t="shared" si="6"/>
        <v>16.7239081111741</v>
      </c>
      <c r="AE9" s="58">
        <f t="shared" si="7"/>
        <v>16.6253696308264</v>
      </c>
      <c r="AF9" s="172"/>
      <c r="AG9" s="53"/>
      <c r="AH9" s="53"/>
      <c r="AI9" s="53"/>
      <c r="AJ9" s="168" t="e">
        <f t="shared" si="8"/>
        <v>#DIV/0!</v>
      </c>
      <c r="AK9" s="57" t="e">
        <f t="shared" si="9"/>
        <v>#DIV/0!</v>
      </c>
      <c r="AL9" s="172"/>
      <c r="AM9" s="172"/>
      <c r="AN9" s="53"/>
      <c r="AO9" s="53"/>
      <c r="AP9" s="53"/>
      <c r="AQ9" s="53"/>
      <c r="AR9" s="167" t="e">
        <f t="shared" ref="AR9:AT9" si="13">AO9/AL9</f>
        <v>#DIV/0!</v>
      </c>
      <c r="AS9" s="167" t="e">
        <f t="shared" si="13"/>
        <v>#DIV/0!</v>
      </c>
      <c r="AT9" s="57" t="e">
        <f t="shared" si="13"/>
        <v>#DIV/0!</v>
      </c>
      <c r="AU9" s="177">
        <f t="shared" si="10"/>
        <v>68063</v>
      </c>
      <c r="AV9" s="327">
        <f t="shared" si="11"/>
        <v>1135047</v>
      </c>
      <c r="AW9" s="177">
        <v>698</v>
      </c>
      <c r="AX9" s="178">
        <v>6510</v>
      </c>
    </row>
    <row r="10" s="26" customFormat="1" ht="23" customHeight="1" spans="1:50">
      <c r="A10" s="52" t="s">
        <v>42</v>
      </c>
      <c r="B10" s="52">
        <v>2459</v>
      </c>
      <c r="C10" s="53">
        <v>22260</v>
      </c>
      <c r="D10" s="53">
        <v>35308</v>
      </c>
      <c r="E10" s="53">
        <v>359040</v>
      </c>
      <c r="F10" s="53"/>
      <c r="G10" s="55"/>
      <c r="H10" s="53"/>
      <c r="I10" s="53"/>
      <c r="J10" s="53"/>
      <c r="K10" s="53"/>
      <c r="L10" s="53"/>
      <c r="M10" s="53"/>
      <c r="N10" s="53"/>
      <c r="O10" s="53"/>
      <c r="P10" s="53">
        <v>14384</v>
      </c>
      <c r="Q10" s="53">
        <v>11400</v>
      </c>
      <c r="R10" s="53">
        <v>244528</v>
      </c>
      <c r="S10" s="55">
        <v>297800</v>
      </c>
      <c r="T10" s="53">
        <f t="shared" si="0"/>
        <v>50503</v>
      </c>
      <c r="U10" s="53">
        <f t="shared" si="1"/>
        <v>936676</v>
      </c>
      <c r="V10" s="53">
        <f t="shared" si="2"/>
        <v>16.6143798610699</v>
      </c>
      <c r="W10" s="56">
        <f t="shared" si="3"/>
        <v>19.513963161022</v>
      </c>
      <c r="X10" s="172">
        <v>999</v>
      </c>
      <c r="Y10" s="53">
        <v>5323</v>
      </c>
      <c r="Z10" s="53">
        <v>12186</v>
      </c>
      <c r="AA10" s="53">
        <v>63135</v>
      </c>
      <c r="AB10" s="167">
        <f t="shared" si="4"/>
        <v>12.1981981981982</v>
      </c>
      <c r="AC10" s="57">
        <f t="shared" si="5"/>
        <v>11.8607927860229</v>
      </c>
      <c r="AD10" s="168">
        <f t="shared" si="6"/>
        <v>16.3671113103912</v>
      </c>
      <c r="AE10" s="58">
        <f t="shared" si="7"/>
        <v>18.4689480029757</v>
      </c>
      <c r="AF10" s="172"/>
      <c r="AG10" s="53"/>
      <c r="AH10" s="53"/>
      <c r="AI10" s="53"/>
      <c r="AJ10" s="167" t="e">
        <f t="shared" si="8"/>
        <v>#DIV/0!</v>
      </c>
      <c r="AK10" s="57" t="e">
        <f t="shared" si="9"/>
        <v>#DIV/0!</v>
      </c>
      <c r="AL10" s="172"/>
      <c r="AM10" s="172"/>
      <c r="AN10" s="53"/>
      <c r="AO10" s="53"/>
      <c r="AP10" s="53"/>
      <c r="AQ10" s="53"/>
      <c r="AR10" s="167" t="e">
        <f t="shared" ref="AR10:AT10" si="14">AO10/AL10</f>
        <v>#DIV/0!</v>
      </c>
      <c r="AS10" s="167" t="e">
        <f t="shared" si="14"/>
        <v>#DIV/0!</v>
      </c>
      <c r="AT10" s="57" t="e">
        <f t="shared" si="14"/>
        <v>#DIV/0!</v>
      </c>
      <c r="AU10" s="177">
        <f t="shared" si="10"/>
        <v>56825</v>
      </c>
      <c r="AV10" s="327">
        <f t="shared" si="11"/>
        <v>1011997</v>
      </c>
      <c r="AW10" s="177">
        <v>1770</v>
      </c>
      <c r="AX10" s="178">
        <v>8475</v>
      </c>
    </row>
    <row r="11" s="26" customFormat="1" ht="23" customHeight="1" spans="1:50">
      <c r="A11" s="52"/>
      <c r="B11" s="52"/>
      <c r="C11" s="53"/>
      <c r="D11" s="53"/>
      <c r="E11" s="53"/>
      <c r="F11" s="53"/>
      <c r="G11" s="54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53">
        <f t="shared" si="0"/>
        <v>0</v>
      </c>
      <c r="U11" s="53">
        <f t="shared" si="1"/>
        <v>0</v>
      </c>
      <c r="V11" s="56" t="e">
        <f t="shared" si="2"/>
        <v>#DIV/0!</v>
      </c>
      <c r="W11" s="56" t="e">
        <f t="shared" si="3"/>
        <v>#DIV/0!</v>
      </c>
      <c r="X11" s="172"/>
      <c r="Y11" s="53"/>
      <c r="Z11" s="53"/>
      <c r="AA11" s="53"/>
      <c r="AB11" s="167" t="e">
        <f t="shared" si="4"/>
        <v>#DIV/0!</v>
      </c>
      <c r="AC11" s="57" t="e">
        <f t="shared" si="5"/>
        <v>#DIV/0!</v>
      </c>
      <c r="AD11" s="168" t="e">
        <f t="shared" si="6"/>
        <v>#DIV/0!</v>
      </c>
      <c r="AE11" s="58" t="e">
        <f t="shared" si="7"/>
        <v>#DIV/0!</v>
      </c>
      <c r="AF11" s="173"/>
      <c r="AG11" s="53"/>
      <c r="AH11" s="53"/>
      <c r="AI11" s="53"/>
      <c r="AJ11" s="53" t="e">
        <f t="shared" si="8"/>
        <v>#DIV/0!</v>
      </c>
      <c r="AK11" s="170" t="e">
        <f t="shared" si="9"/>
        <v>#DIV/0!</v>
      </c>
      <c r="AL11" s="171"/>
      <c r="AM11" s="171"/>
      <c r="AN11" s="171"/>
      <c r="AO11" s="171"/>
      <c r="AP11" s="171"/>
      <c r="AQ11" s="171"/>
      <c r="AR11" s="171"/>
      <c r="AS11" s="171"/>
      <c r="AT11" s="171"/>
      <c r="AU11" s="177">
        <f t="shared" ref="AU7:AU17" si="15">T11+X11+Y11+AF11+AG11+AL11+AM11+AN11</f>
        <v>0</v>
      </c>
      <c r="AV11" s="178">
        <f t="shared" ref="AV7:AV17" si="16">U11+Z11+AA11+AH11+AI11+AO11+AP11+AQ11</f>
        <v>0</v>
      </c>
      <c r="AW11" s="177"/>
      <c r="AX11" s="178"/>
    </row>
    <row r="12" s="26" customFormat="1" ht="23" customHeight="1" spans="1:50">
      <c r="A12" s="52"/>
      <c r="B12" s="52"/>
      <c r="C12" s="53"/>
      <c r="D12" s="53"/>
      <c r="E12" s="53"/>
      <c r="F12" s="53"/>
      <c r="G12" s="54"/>
      <c r="H12" s="53"/>
      <c r="I12" s="53"/>
      <c r="J12" s="53"/>
      <c r="K12" s="53"/>
      <c r="L12" s="53"/>
      <c r="M12" s="53"/>
      <c r="N12" s="53"/>
      <c r="O12" s="172"/>
      <c r="P12" s="172"/>
      <c r="Q12" s="53"/>
      <c r="R12" s="53"/>
      <c r="S12" s="55"/>
      <c r="T12" s="53">
        <f t="shared" si="0"/>
        <v>0</v>
      </c>
      <c r="U12" s="53">
        <f t="shared" si="1"/>
        <v>0</v>
      </c>
      <c r="V12" s="56" t="e">
        <f t="shared" si="2"/>
        <v>#DIV/0!</v>
      </c>
      <c r="W12" s="56" t="e">
        <f t="shared" si="3"/>
        <v>#DIV/0!</v>
      </c>
      <c r="X12" s="172"/>
      <c r="Y12" s="53"/>
      <c r="Z12" s="53"/>
      <c r="AA12" s="53"/>
      <c r="AB12" s="167" t="e">
        <f t="shared" si="4"/>
        <v>#DIV/0!</v>
      </c>
      <c r="AC12" s="57" t="e">
        <f t="shared" si="5"/>
        <v>#DIV/0!</v>
      </c>
      <c r="AD12" s="168" t="e">
        <f t="shared" si="6"/>
        <v>#DIV/0!</v>
      </c>
      <c r="AE12" s="58" t="e">
        <f t="shared" si="7"/>
        <v>#DIV/0!</v>
      </c>
      <c r="AF12" s="173"/>
      <c r="AG12" s="53"/>
      <c r="AH12" s="53"/>
      <c r="AI12" s="53"/>
      <c r="AJ12" s="53" t="e">
        <f t="shared" si="8"/>
        <v>#DIV/0!</v>
      </c>
      <c r="AK12" s="170" t="e">
        <f t="shared" si="9"/>
        <v>#DIV/0!</v>
      </c>
      <c r="AL12" s="171"/>
      <c r="AM12" s="171"/>
      <c r="AN12" s="171"/>
      <c r="AO12" s="171"/>
      <c r="AP12" s="171"/>
      <c r="AQ12" s="171"/>
      <c r="AR12" s="171"/>
      <c r="AS12" s="171"/>
      <c r="AT12" s="171"/>
      <c r="AU12" s="177">
        <f t="shared" si="15"/>
        <v>0</v>
      </c>
      <c r="AV12" s="178">
        <f t="shared" si="16"/>
        <v>0</v>
      </c>
      <c r="AW12" s="177"/>
      <c r="AX12" s="178"/>
    </row>
    <row r="13" s="26" customFormat="1" ht="23" customHeight="1" spans="1:50">
      <c r="A13" s="52"/>
      <c r="B13" s="52"/>
      <c r="C13" s="53"/>
      <c r="D13" s="53"/>
      <c r="E13" s="53"/>
      <c r="F13" s="53"/>
      <c r="G13" s="54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5"/>
      <c r="T13" s="53">
        <f t="shared" si="0"/>
        <v>0</v>
      </c>
      <c r="U13" s="53">
        <f t="shared" si="1"/>
        <v>0</v>
      </c>
      <c r="V13" s="53" t="e">
        <f t="shared" si="2"/>
        <v>#DIV/0!</v>
      </c>
      <c r="W13" s="56" t="e">
        <f t="shared" si="3"/>
        <v>#DIV/0!</v>
      </c>
      <c r="X13" s="172"/>
      <c r="Y13" s="53"/>
      <c r="Z13" s="53"/>
      <c r="AA13" s="53"/>
      <c r="AB13" s="167" t="e">
        <f t="shared" si="4"/>
        <v>#DIV/0!</v>
      </c>
      <c r="AC13" s="57" t="e">
        <f t="shared" si="5"/>
        <v>#DIV/0!</v>
      </c>
      <c r="AD13" s="168" t="e">
        <f t="shared" si="6"/>
        <v>#DIV/0!</v>
      </c>
      <c r="AE13" s="58" t="e">
        <f t="shared" si="7"/>
        <v>#DIV/0!</v>
      </c>
      <c r="AF13" s="173"/>
      <c r="AG13" s="53"/>
      <c r="AH13" s="53"/>
      <c r="AI13" s="53"/>
      <c r="AJ13" s="53" t="e">
        <f t="shared" si="8"/>
        <v>#DIV/0!</v>
      </c>
      <c r="AK13" s="170" t="e">
        <f t="shared" si="9"/>
        <v>#DIV/0!</v>
      </c>
      <c r="AL13" s="171"/>
      <c r="AM13" s="171"/>
      <c r="AN13" s="171"/>
      <c r="AO13" s="171"/>
      <c r="AP13" s="171"/>
      <c r="AQ13" s="171"/>
      <c r="AR13" s="171"/>
      <c r="AS13" s="171"/>
      <c r="AT13" s="171"/>
      <c r="AU13" s="177">
        <f t="shared" si="15"/>
        <v>0</v>
      </c>
      <c r="AV13" s="178">
        <f t="shared" si="16"/>
        <v>0</v>
      </c>
      <c r="AW13" s="177"/>
      <c r="AX13" s="178"/>
    </row>
    <row r="14" s="26" customFormat="1" ht="23" customHeight="1" spans="1:50">
      <c r="A14" s="52"/>
      <c r="B14" s="52"/>
      <c r="C14" s="53"/>
      <c r="D14" s="53"/>
      <c r="E14" s="53"/>
      <c r="F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4"/>
      <c r="T14" s="53">
        <f t="shared" si="0"/>
        <v>0</v>
      </c>
      <c r="U14" s="53">
        <f t="shared" si="1"/>
        <v>0</v>
      </c>
      <c r="V14" s="53" t="e">
        <f t="shared" si="2"/>
        <v>#DIV/0!</v>
      </c>
      <c r="W14" s="56" t="e">
        <f t="shared" si="3"/>
        <v>#DIV/0!</v>
      </c>
      <c r="X14" s="172"/>
      <c r="Y14" s="53"/>
      <c r="Z14" s="53"/>
      <c r="AA14" s="53"/>
      <c r="AB14" s="167" t="e">
        <f t="shared" si="4"/>
        <v>#DIV/0!</v>
      </c>
      <c r="AC14" s="57" t="e">
        <f t="shared" si="5"/>
        <v>#DIV/0!</v>
      </c>
      <c r="AD14" s="168" t="e">
        <f t="shared" si="6"/>
        <v>#DIV/0!</v>
      </c>
      <c r="AE14" s="58" t="e">
        <f t="shared" si="7"/>
        <v>#DIV/0!</v>
      </c>
      <c r="AF14" s="169"/>
      <c r="AG14" s="53"/>
      <c r="AH14" s="53"/>
      <c r="AI14" s="53"/>
      <c r="AJ14" s="53" t="e">
        <f t="shared" si="8"/>
        <v>#DIV/0!</v>
      </c>
      <c r="AK14" s="57" t="e">
        <f t="shared" si="9"/>
        <v>#DIV/0!</v>
      </c>
      <c r="AL14" s="174"/>
      <c r="AM14" s="174"/>
      <c r="AN14" s="174"/>
      <c r="AO14" s="174"/>
      <c r="AP14" s="174"/>
      <c r="AQ14" s="174"/>
      <c r="AR14" s="174"/>
      <c r="AS14" s="174"/>
      <c r="AT14" s="174"/>
      <c r="AU14" s="177">
        <f t="shared" si="15"/>
        <v>0</v>
      </c>
      <c r="AV14" s="178">
        <f t="shared" si="16"/>
        <v>0</v>
      </c>
      <c r="AW14" s="177"/>
      <c r="AX14" s="178"/>
    </row>
    <row r="15" s="26" customFormat="1" ht="23" customHeight="1" spans="1:50">
      <c r="A15" s="52"/>
      <c r="B15" s="52"/>
      <c r="C15" s="53"/>
      <c r="D15" s="53"/>
      <c r="E15" s="53"/>
      <c r="F15" s="53"/>
      <c r="G15" s="54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172"/>
      <c r="T15" s="53">
        <f t="shared" si="0"/>
        <v>0</v>
      </c>
      <c r="U15" s="53">
        <f t="shared" si="1"/>
        <v>0</v>
      </c>
      <c r="V15" s="53" t="e">
        <f t="shared" si="2"/>
        <v>#DIV/0!</v>
      </c>
      <c r="W15" s="56" t="e">
        <f t="shared" si="3"/>
        <v>#DIV/0!</v>
      </c>
      <c r="X15" s="176"/>
      <c r="Y15" s="53"/>
      <c r="Z15" s="53"/>
      <c r="AA15" s="53"/>
      <c r="AB15" s="167" t="e">
        <f t="shared" si="4"/>
        <v>#DIV/0!</v>
      </c>
      <c r="AC15" s="57" t="e">
        <f t="shared" si="5"/>
        <v>#DIV/0!</v>
      </c>
      <c r="AD15" s="168" t="e">
        <f t="shared" si="6"/>
        <v>#DIV/0!</v>
      </c>
      <c r="AE15" s="58" t="e">
        <f t="shared" si="7"/>
        <v>#DIV/0!</v>
      </c>
      <c r="AF15" s="169"/>
      <c r="AG15" s="53"/>
      <c r="AH15" s="53"/>
      <c r="AI15" s="53"/>
      <c r="AJ15" s="53" t="e">
        <f t="shared" si="8"/>
        <v>#DIV/0!</v>
      </c>
      <c r="AK15" s="170" t="e">
        <f t="shared" si="9"/>
        <v>#DIV/0!</v>
      </c>
      <c r="AL15" s="174"/>
      <c r="AM15" s="174"/>
      <c r="AN15" s="174"/>
      <c r="AO15" s="174"/>
      <c r="AP15" s="174"/>
      <c r="AQ15" s="174"/>
      <c r="AR15" s="174"/>
      <c r="AS15" s="174"/>
      <c r="AT15" s="174"/>
      <c r="AU15" s="177">
        <f t="shared" si="15"/>
        <v>0</v>
      </c>
      <c r="AV15" s="178">
        <f t="shared" si="16"/>
        <v>0</v>
      </c>
      <c r="AW15" s="177"/>
      <c r="AX15" s="178"/>
    </row>
    <row r="16" s="26" customFormat="1" ht="23" customHeight="1" spans="1:50">
      <c r="A16" s="52"/>
      <c r="B16" s="52"/>
      <c r="C16" s="53"/>
      <c r="D16" s="53"/>
      <c r="E16" s="53"/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5"/>
      <c r="T16" s="53">
        <f t="shared" si="0"/>
        <v>0</v>
      </c>
      <c r="U16" s="53">
        <f t="shared" si="1"/>
        <v>0</v>
      </c>
      <c r="V16" s="53" t="e">
        <f t="shared" si="2"/>
        <v>#DIV/0!</v>
      </c>
      <c r="W16" s="56" t="e">
        <f t="shared" si="3"/>
        <v>#DIV/0!</v>
      </c>
      <c r="X16" s="172"/>
      <c r="Y16" s="53"/>
      <c r="Z16" s="53"/>
      <c r="AA16" s="53"/>
      <c r="AB16" s="167" t="e">
        <f t="shared" si="4"/>
        <v>#DIV/0!</v>
      </c>
      <c r="AC16" s="57" t="e">
        <f t="shared" si="5"/>
        <v>#DIV/0!</v>
      </c>
      <c r="AD16" s="168" t="e">
        <f t="shared" si="6"/>
        <v>#DIV/0!</v>
      </c>
      <c r="AE16" s="58" t="e">
        <f t="shared" si="7"/>
        <v>#DIV/0!</v>
      </c>
      <c r="AF16" s="169"/>
      <c r="AG16" s="53"/>
      <c r="AH16" s="53"/>
      <c r="AI16" s="53"/>
      <c r="AJ16" s="53" t="e">
        <f t="shared" si="8"/>
        <v>#DIV/0!</v>
      </c>
      <c r="AK16" s="170" t="e">
        <f t="shared" si="9"/>
        <v>#DIV/0!</v>
      </c>
      <c r="AL16" s="174"/>
      <c r="AM16" s="174"/>
      <c r="AN16" s="174"/>
      <c r="AO16" s="174"/>
      <c r="AP16" s="174"/>
      <c r="AQ16" s="174"/>
      <c r="AR16" s="174"/>
      <c r="AS16" s="174"/>
      <c r="AT16" s="174"/>
      <c r="AU16" s="177">
        <f t="shared" si="15"/>
        <v>0</v>
      </c>
      <c r="AV16" s="178">
        <f t="shared" si="16"/>
        <v>0</v>
      </c>
      <c r="AW16" s="177"/>
      <c r="AX16" s="178"/>
    </row>
    <row r="17" s="26" customFormat="1" ht="23" customHeight="1" spans="1:50">
      <c r="A17" s="52"/>
      <c r="B17" s="52"/>
      <c r="C17" s="53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5"/>
      <c r="T17" s="53">
        <f t="shared" si="0"/>
        <v>0</v>
      </c>
      <c r="U17" s="53">
        <f t="shared" si="1"/>
        <v>0</v>
      </c>
      <c r="V17" s="53" t="e">
        <f t="shared" si="2"/>
        <v>#DIV/0!</v>
      </c>
      <c r="W17" s="56" t="e">
        <f t="shared" si="3"/>
        <v>#DIV/0!</v>
      </c>
      <c r="X17" s="172"/>
      <c r="Y17" s="53"/>
      <c r="Z17" s="53"/>
      <c r="AA17" s="53"/>
      <c r="AB17" s="167" t="e">
        <f t="shared" si="4"/>
        <v>#DIV/0!</v>
      </c>
      <c r="AC17" s="57" t="e">
        <f t="shared" si="5"/>
        <v>#DIV/0!</v>
      </c>
      <c r="AD17" s="168" t="e">
        <f t="shared" si="6"/>
        <v>#DIV/0!</v>
      </c>
      <c r="AE17" s="58" t="e">
        <f t="shared" si="7"/>
        <v>#DIV/0!</v>
      </c>
      <c r="AF17" s="56"/>
      <c r="AG17" s="53"/>
      <c r="AH17" s="53"/>
      <c r="AI17" s="53"/>
      <c r="AJ17" s="167" t="e">
        <f t="shared" si="8"/>
        <v>#DIV/0!</v>
      </c>
      <c r="AK17" s="57" t="e">
        <f t="shared" si="9"/>
        <v>#DIV/0!</v>
      </c>
      <c r="AL17" s="172"/>
      <c r="AM17" s="172"/>
      <c r="AN17" s="53"/>
      <c r="AO17" s="53"/>
      <c r="AP17" s="53"/>
      <c r="AQ17" s="53"/>
      <c r="AR17" s="56" t="e">
        <f t="shared" ref="AR17:AT17" si="17">AO17/AL17</f>
        <v>#DIV/0!</v>
      </c>
      <c r="AS17" s="56" t="e">
        <f t="shared" si="17"/>
        <v>#DIV/0!</v>
      </c>
      <c r="AT17" s="56" t="e">
        <f t="shared" si="17"/>
        <v>#DIV/0!</v>
      </c>
      <c r="AU17" s="177">
        <f t="shared" si="15"/>
        <v>0</v>
      </c>
      <c r="AV17" s="178">
        <f t="shared" si="16"/>
        <v>0</v>
      </c>
      <c r="AW17" s="177"/>
      <c r="AX17" s="178"/>
    </row>
    <row r="18" s="26" customFormat="1" ht="29" customHeight="1" spans="1:50">
      <c r="A18" s="59" t="s">
        <v>43</v>
      </c>
      <c r="B18" s="59">
        <f t="shared" ref="B18:U18" si="18">SUM(B6:B16)</f>
        <v>4921</v>
      </c>
      <c r="C18" s="59">
        <f t="shared" si="18"/>
        <v>109545</v>
      </c>
      <c r="D18" s="59">
        <f t="shared" si="18"/>
        <v>67559</v>
      </c>
      <c r="E18" s="59">
        <f t="shared" si="18"/>
        <v>1752946</v>
      </c>
      <c r="F18" s="59">
        <f t="shared" si="18"/>
        <v>0</v>
      </c>
      <c r="G18" s="59">
        <f t="shared" si="18"/>
        <v>0</v>
      </c>
      <c r="H18" s="59">
        <f t="shared" si="18"/>
        <v>30000</v>
      </c>
      <c r="I18" s="59">
        <f t="shared" si="18"/>
        <v>255000</v>
      </c>
      <c r="J18" s="59">
        <f t="shared" si="18"/>
        <v>0</v>
      </c>
      <c r="K18" s="59">
        <f t="shared" si="18"/>
        <v>0</v>
      </c>
      <c r="L18" s="59">
        <f t="shared" si="18"/>
        <v>31200</v>
      </c>
      <c r="M18" s="59">
        <f t="shared" si="18"/>
        <v>105962</v>
      </c>
      <c r="N18" s="59">
        <f t="shared" si="18"/>
        <v>530400</v>
      </c>
      <c r="O18" s="59">
        <f t="shared" si="18"/>
        <v>2710760</v>
      </c>
      <c r="P18" s="59">
        <f t="shared" si="18"/>
        <v>14944</v>
      </c>
      <c r="Q18" s="59">
        <f t="shared" si="18"/>
        <v>13260</v>
      </c>
      <c r="R18" s="59">
        <f t="shared" si="18"/>
        <v>258188</v>
      </c>
      <c r="S18" s="59">
        <f t="shared" si="18"/>
        <v>337179</v>
      </c>
      <c r="T18" s="60">
        <f t="shared" si="18"/>
        <v>309832</v>
      </c>
      <c r="U18" s="60">
        <f t="shared" si="18"/>
        <v>5919832</v>
      </c>
      <c r="V18" s="53">
        <f t="shared" si="2"/>
        <v>16.7658278664447</v>
      </c>
      <c r="W18" s="62">
        <f t="shared" si="3"/>
        <v>20.9859158007929</v>
      </c>
      <c r="X18" s="62">
        <f t="shared" ref="X18:AA18" si="19">SUM(X6:X16)</f>
        <v>2037</v>
      </c>
      <c r="Y18" s="60">
        <f t="shared" si="19"/>
        <v>47918</v>
      </c>
      <c r="Z18" s="60">
        <f t="shared" si="19"/>
        <v>25560</v>
      </c>
      <c r="AA18" s="60">
        <f t="shared" si="19"/>
        <v>579812</v>
      </c>
      <c r="AB18" s="183">
        <f t="shared" si="4"/>
        <v>12.5478645066274</v>
      </c>
      <c r="AC18" s="63">
        <f t="shared" si="5"/>
        <v>12.100087649735</v>
      </c>
      <c r="AD18" s="184">
        <f t="shared" si="6"/>
        <v>16.6040262137019</v>
      </c>
      <c r="AE18" s="64">
        <f t="shared" si="7"/>
        <v>19.4470137521008</v>
      </c>
      <c r="AF18" s="185">
        <f t="shared" ref="AF18:AI18" si="20">SUM(AF6:AF16)</f>
        <v>0</v>
      </c>
      <c r="AG18" s="186">
        <f t="shared" si="20"/>
        <v>0</v>
      </c>
      <c r="AH18" s="186">
        <f t="shared" si="20"/>
        <v>0</v>
      </c>
      <c r="AI18" s="186">
        <f t="shared" si="20"/>
        <v>0</v>
      </c>
      <c r="AJ18" s="187" t="e">
        <f t="shared" si="8"/>
        <v>#DIV/0!</v>
      </c>
      <c r="AK18" s="188" t="e">
        <f t="shared" si="9"/>
        <v>#DIV/0!</v>
      </c>
      <c r="AL18" s="189">
        <f t="shared" ref="AL18:AX18" si="21">SUM(AL6:AL17)</f>
        <v>0</v>
      </c>
      <c r="AM18" s="189">
        <f t="shared" si="21"/>
        <v>0</v>
      </c>
      <c r="AN18" s="189">
        <f t="shared" si="21"/>
        <v>0</v>
      </c>
      <c r="AO18" s="189">
        <f t="shared" si="21"/>
        <v>0</v>
      </c>
      <c r="AP18" s="189">
        <f t="shared" si="21"/>
        <v>0</v>
      </c>
      <c r="AQ18" s="189">
        <f t="shared" si="21"/>
        <v>0</v>
      </c>
      <c r="AR18" s="190" t="e">
        <f t="shared" si="21"/>
        <v>#DIV/0!</v>
      </c>
      <c r="AS18" s="190" t="e">
        <f t="shared" si="21"/>
        <v>#DIV/0!</v>
      </c>
      <c r="AT18" s="190" t="e">
        <f t="shared" si="21"/>
        <v>#DIV/0!</v>
      </c>
      <c r="AU18" s="189">
        <f t="shared" si="21"/>
        <v>359787</v>
      </c>
      <c r="AV18" s="328">
        <f t="shared" si="21"/>
        <v>6525204</v>
      </c>
      <c r="AW18" s="244">
        <f t="shared" si="21"/>
        <v>8348</v>
      </c>
      <c r="AX18" s="244">
        <f t="shared" si="21"/>
        <v>54475</v>
      </c>
    </row>
    <row r="19" customFormat="1" spans="1:5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28"/>
      <c r="Y19" s="27"/>
      <c r="Z19" s="27"/>
      <c r="AA19" s="27"/>
      <c r="AB19" s="27"/>
      <c r="AC19" s="28"/>
      <c r="AD19" s="28"/>
      <c r="AE19" s="28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</row>
    <row r="20" customFormat="1" spans="1:5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/>
      <c r="X20" s="28"/>
      <c r="Y20" s="27"/>
      <c r="Z20" s="27"/>
      <c r="AA20" s="27"/>
      <c r="AB20" s="27"/>
      <c r="AC20" s="28"/>
      <c r="AD20" s="28"/>
      <c r="AE20" s="28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</row>
    <row r="21" customFormat="1" spans="1:50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/>
      <c r="X21" s="28"/>
      <c r="Y21" s="27"/>
      <c r="Z21" s="27"/>
      <c r="AA21" s="27"/>
      <c r="AB21" s="27"/>
      <c r="AC21" s="28"/>
      <c r="AD21" s="28"/>
      <c r="AE21" s="28">
        <f>T14+X14+Y14+AG14</f>
        <v>0</v>
      </c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</row>
    <row r="22" customFormat="1" spans="1:50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/>
      <c r="X22" s="28"/>
      <c r="Y22" s="27"/>
      <c r="Z22" s="27"/>
      <c r="AA22" s="27"/>
      <c r="AB22" s="27"/>
      <c r="AC22" s="28"/>
      <c r="AD22" s="28"/>
      <c r="AE22" s="28">
        <f>T15+X15+Y15+AG15</f>
        <v>0</v>
      </c>
    </row>
    <row r="23" customFormat="1" spans="1:50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/>
      <c r="X23" s="28"/>
      <c r="Y23" s="27"/>
      <c r="Z23" s="27"/>
      <c r="AA23" s="27"/>
      <c r="AB23" s="27"/>
      <c r="AC23" s="28"/>
      <c r="AD23" s="28"/>
      <c r="AE23" s="28"/>
      <c r="AH23">
        <f>U16+AA16+Z16+AI16</f>
        <v>0</v>
      </c>
    </row>
    <row r="25" customFormat="1" spans="1:50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8"/>
      <c r="X25" s="28"/>
      <c r="Y25" s="27"/>
      <c r="Z25" s="27"/>
      <c r="AA25" s="27"/>
      <c r="AB25" s="27"/>
      <c r="AC25" s="28">
        <f t="shared" ref="AC25:AC27" si="22">T14+X14+Y14+AG14</f>
        <v>0</v>
      </c>
      <c r="AD25" s="28"/>
      <c r="AE25" s="28"/>
    </row>
    <row r="26" customFormat="1" spans="1:50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/>
      <c r="X26" s="28"/>
      <c r="Y26" s="27"/>
      <c r="Z26" s="27"/>
      <c r="AA26" s="27"/>
      <c r="AB26" s="27"/>
      <c r="AC26" s="28">
        <f t="shared" si="22"/>
        <v>0</v>
      </c>
      <c r="AD26" s="28"/>
      <c r="AE26" s="28"/>
    </row>
    <row r="27" customFormat="1" spans="1:50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8"/>
      <c r="X27" s="28"/>
      <c r="Y27" s="27"/>
      <c r="Z27" s="27"/>
      <c r="AA27" s="27"/>
      <c r="AB27" s="27"/>
      <c r="AC27" s="28">
        <f t="shared" si="22"/>
        <v>0</v>
      </c>
      <c r="AD27" s="28"/>
      <c r="AE27" s="28"/>
    </row>
    <row r="28" customFormat="1" spans="1:50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/>
      <c r="X28" s="28"/>
      <c r="Y28" s="27"/>
      <c r="Z28" s="27"/>
      <c r="AA28" s="27"/>
      <c r="AB28" s="27"/>
      <c r="AC28" s="28">
        <f>T18+X18+Y18+AG18+AL18+AM18+AN18</f>
        <v>359787</v>
      </c>
      <c r="AD28" s="28"/>
      <c r="AE28" s="28"/>
    </row>
  </sheetData>
  <mergeCells count="40">
    <mergeCell ref="A1:AC1"/>
    <mergeCell ref="C2:W2"/>
    <mergeCell ref="Y2:AC2"/>
    <mergeCell ref="AG2:AK2"/>
    <mergeCell ref="AL2:AT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AU2:AU5"/>
    <mergeCell ref="AV2:AV5"/>
    <mergeCell ref="AW2:AW5"/>
    <mergeCell ref="AX2:AX5"/>
    <mergeCell ref="AD2:AE4"/>
    <mergeCell ref="V3:W4"/>
    <mergeCell ref="X3:Y4"/>
    <mergeCell ref="Z3:AA4"/>
    <mergeCell ref="AB3:AC4"/>
    <mergeCell ref="AF3:AG4"/>
    <mergeCell ref="AH3:AI4"/>
    <mergeCell ref="AJ3:AK4"/>
    <mergeCell ref="AL3:AN4"/>
    <mergeCell ref="AO3:AQ4"/>
    <mergeCell ref="AR3:AT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2"/>
  <sheetViews>
    <sheetView workbookViewId="0">
      <selection activeCell="A11" sqref="$A11:$XFD11"/>
    </sheetView>
  </sheetViews>
  <sheetFormatPr defaultColWidth="9" defaultRowHeight="15.6"/>
  <cols>
    <col min="1" max="1" width="11.75" style="27" customWidth="1"/>
    <col min="2" max="2" width="8.325" style="27" customWidth="1"/>
    <col min="3" max="4" width="7.75" style="27" customWidth="1"/>
    <col min="5" max="5" width="8.60833333333333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9.3" style="27" customWidth="1"/>
    <col min="16" max="16" width="7.775" style="27" customWidth="1"/>
    <col min="17" max="18" width="8.125" style="27" customWidth="1"/>
    <col min="19" max="19" width="9.3" style="27" customWidth="1"/>
    <col min="20" max="21" width="9.375" style="27" customWidth="1"/>
    <col min="22" max="22" width="13.8916666666667" style="27" customWidth="1"/>
    <col min="23" max="24" width="8.875" style="28" customWidth="1"/>
    <col min="25" max="26" width="8.875" style="27" customWidth="1"/>
    <col min="27" max="27" width="10.75" style="27" customWidth="1"/>
    <col min="28" max="28" width="11.525" style="27" customWidth="1"/>
    <col min="29" max="32" width="8.875" style="28" customWidth="1"/>
    <col min="33" max="34" width="8.875" style="27" customWidth="1"/>
    <col min="35" max="35" width="10.75" style="27" customWidth="1"/>
    <col min="36" max="36" width="11.525" style="27" customWidth="1"/>
    <col min="37" max="39" width="8.875" style="28" customWidth="1"/>
    <col min="40" max="40" width="8.875" style="27" customWidth="1"/>
    <col min="41" max="41" width="11.25" style="27" customWidth="1"/>
    <col min="42" max="42" width="11.625" style="27" customWidth="1"/>
    <col min="43" max="43" width="10.75" style="27" customWidth="1"/>
    <col min="44" max="44" width="11.525" style="27" customWidth="1"/>
    <col min="45" max="45" width="11.875" style="27" customWidth="1"/>
    <col min="46" max="46" width="8.875" style="28" customWidth="1"/>
    <col min="47" max="47" width="18.75" style="202" customWidth="1"/>
    <col min="48" max="48" width="17.875" style="202" customWidth="1"/>
    <col min="49" max="49" width="27.125" customWidth="1"/>
    <col min="50" max="50" width="29.125" customWidth="1"/>
    <col min="51" max="51" width="10.375"/>
  </cols>
  <sheetData>
    <row r="1" ht="30" customHeight="1" spans="1:50">
      <c r="A1" s="29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  <c r="AF1" s="30"/>
      <c r="AG1" s="29"/>
      <c r="AH1" s="29"/>
      <c r="AI1" s="29"/>
      <c r="AJ1" s="29"/>
      <c r="AK1" s="30"/>
      <c r="AL1" s="30"/>
      <c r="AM1" s="30"/>
      <c r="AN1" s="29"/>
      <c r="AO1" s="29"/>
      <c r="AP1" s="29"/>
      <c r="AQ1" s="29"/>
      <c r="AR1" s="29"/>
      <c r="AS1" s="29"/>
      <c r="AT1" s="30"/>
    </row>
    <row r="2" s="24" customFormat="1" ht="27" customHeight="1" spans="1:50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92"/>
      <c r="AG2" s="120" t="s">
        <v>5</v>
      </c>
      <c r="AH2" s="121"/>
      <c r="AI2" s="33"/>
      <c r="AJ2" s="122"/>
      <c r="AK2" s="123"/>
      <c r="AL2" s="305" t="s">
        <v>6</v>
      </c>
      <c r="AM2" s="306"/>
      <c r="AN2" s="306"/>
      <c r="AO2" s="306"/>
      <c r="AP2" s="306"/>
      <c r="AQ2" s="306"/>
      <c r="AR2" s="306"/>
      <c r="AS2" s="306"/>
      <c r="AT2" s="306"/>
      <c r="AU2" s="307" t="s">
        <v>7</v>
      </c>
      <c r="AV2" s="308" t="s">
        <v>8</v>
      </c>
      <c r="AW2" s="307" t="s">
        <v>9</v>
      </c>
      <c r="AX2" s="308" t="s">
        <v>10</v>
      </c>
    </row>
    <row r="3" s="25" customFormat="1" ht="27" customHeight="1" spans="1:50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3" t="s">
        <v>20</v>
      </c>
      <c r="AG3" s="134"/>
      <c r="AH3" s="133" t="s">
        <v>21</v>
      </c>
      <c r="AI3" s="134"/>
      <c r="AJ3" s="135" t="s">
        <v>22</v>
      </c>
      <c r="AK3" s="136"/>
      <c r="AL3" s="133" t="s">
        <v>23</v>
      </c>
      <c r="AM3" s="309"/>
      <c r="AN3" s="134"/>
      <c r="AO3" s="133" t="s">
        <v>24</v>
      </c>
      <c r="AP3" s="309"/>
      <c r="AQ3" s="134"/>
      <c r="AR3" s="135" t="s">
        <v>25</v>
      </c>
      <c r="AS3" s="136"/>
      <c r="AT3" s="136"/>
      <c r="AU3" s="176"/>
      <c r="AV3" s="268"/>
      <c r="AW3" s="176"/>
      <c r="AX3" s="268"/>
    </row>
    <row r="4" s="25" customFormat="1" ht="36" customHeight="1" spans="1:50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51"/>
      <c r="AG4" s="152"/>
      <c r="AH4" s="151"/>
      <c r="AI4" s="152"/>
      <c r="AJ4" s="149"/>
      <c r="AK4" s="153"/>
      <c r="AL4" s="151"/>
      <c r="AM4" s="310"/>
      <c r="AN4" s="152"/>
      <c r="AO4" s="151"/>
      <c r="AP4" s="310"/>
      <c r="AQ4" s="152"/>
      <c r="AR4" s="149"/>
      <c r="AS4" s="153"/>
      <c r="AT4" s="153"/>
      <c r="AU4" s="176"/>
      <c r="AV4" s="268"/>
      <c r="AW4" s="176"/>
      <c r="AX4" s="268"/>
    </row>
    <row r="5" s="25" customFormat="1" ht="22" customHeight="1" spans="1:50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8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48" t="s">
        <v>28</v>
      </c>
      <c r="AG5" s="49" t="s">
        <v>29</v>
      </c>
      <c r="AH5" s="41" t="s">
        <v>28</v>
      </c>
      <c r="AI5" s="140" t="s">
        <v>29</v>
      </c>
      <c r="AJ5" s="162" t="s">
        <v>28</v>
      </c>
      <c r="AK5" s="51" t="s">
        <v>29</v>
      </c>
      <c r="AL5" s="165">
        <v>2.8</v>
      </c>
      <c r="AM5" s="165">
        <v>3</v>
      </c>
      <c r="AN5" s="166">
        <v>3.5</v>
      </c>
      <c r="AO5" s="165">
        <v>2.8</v>
      </c>
      <c r="AP5" s="165">
        <v>3</v>
      </c>
      <c r="AQ5" s="166">
        <v>3.5</v>
      </c>
      <c r="AR5" s="165">
        <v>2.8</v>
      </c>
      <c r="AS5" s="165">
        <v>3</v>
      </c>
      <c r="AT5" s="311">
        <v>3.5</v>
      </c>
      <c r="AU5" s="176"/>
      <c r="AV5" s="268"/>
      <c r="AW5" s="176"/>
      <c r="AX5" s="268"/>
    </row>
    <row r="6" s="26" customFormat="1" ht="23" customHeight="1" spans="1:50">
      <c r="A6" s="52" t="s">
        <v>36</v>
      </c>
      <c r="B6" s="52">
        <v>3068</v>
      </c>
      <c r="C6" s="53">
        <v>56074</v>
      </c>
      <c r="D6" s="53">
        <v>56926</v>
      </c>
      <c r="E6" s="53">
        <f>1118876-1604</f>
        <v>1117272</v>
      </c>
      <c r="F6" s="53"/>
      <c r="G6" s="54"/>
      <c r="H6" s="53"/>
      <c r="I6" s="53"/>
      <c r="J6" s="53">
        <v>1458</v>
      </c>
      <c r="K6" s="53">
        <v>5103</v>
      </c>
      <c r="L6" s="53"/>
      <c r="M6" s="53"/>
      <c r="N6" s="53"/>
      <c r="O6" s="53"/>
      <c r="P6" s="53">
        <v>1706</v>
      </c>
      <c r="Q6" s="53">
        <v>102167</v>
      </c>
      <c r="R6" s="53">
        <v>30822</v>
      </c>
      <c r="S6" s="55">
        <v>2402064</v>
      </c>
      <c r="T6" s="53">
        <f t="shared" ref="T6:T17" si="0">C6+F6+H6+J6+M6+Q6+B6+L6+P6</f>
        <v>164473</v>
      </c>
      <c r="U6" s="53">
        <f>E6+G6+I6+K6+O6+S6+D6+N6+R6</f>
        <v>3612187</v>
      </c>
      <c r="V6" s="53">
        <f t="shared" ref="V6:V18" si="1">(D6+N6+R6)/(B6+L6+P6)</f>
        <v>18.3803937997486</v>
      </c>
      <c r="W6" s="56">
        <f t="shared" ref="W6:W18" si="2">(E6+O6+S6)/(C6+M6+Q6)</f>
        <v>22.2403549017006</v>
      </c>
      <c r="X6" s="172">
        <v>649</v>
      </c>
      <c r="Y6" s="53">
        <v>19906</v>
      </c>
      <c r="Z6" s="53">
        <v>11591</v>
      </c>
      <c r="AA6" s="53">
        <v>397308</v>
      </c>
      <c r="AB6" s="167">
        <f t="shared" ref="AB6:AB18" si="3">Z6/X6</f>
        <v>17.8597842835131</v>
      </c>
      <c r="AC6" s="57">
        <f t="shared" ref="AC6:AC18" si="4">AA6/Y6</f>
        <v>19.9592082789109</v>
      </c>
      <c r="AD6" s="168">
        <f t="shared" ref="AD6:AD18" si="5">(D6+N6+R6+Z6)/(B6+L6+P6+X6)</f>
        <v>18.3180896182925</v>
      </c>
      <c r="AE6" s="58">
        <f t="shared" ref="AE6:AE18" si="6">(E6+O6+S6+AA6)/(C6+M6+Q6+Y6)</f>
        <v>21.9854614447619</v>
      </c>
      <c r="AF6" s="56"/>
      <c r="AG6" s="53">
        <v>103</v>
      </c>
      <c r="AH6" s="53"/>
      <c r="AI6" s="53">
        <v>3124</v>
      </c>
      <c r="AJ6" s="167" t="e">
        <f t="shared" ref="AJ6:AJ18" si="7">AH6/AF6</f>
        <v>#DIV/0!</v>
      </c>
      <c r="AK6" s="57">
        <f t="shared" ref="AK6:AK18" si="8">AI6/AG6</f>
        <v>30.3300970873786</v>
      </c>
      <c r="AL6" s="172">
        <v>1136</v>
      </c>
      <c r="AM6" s="172">
        <v>690</v>
      </c>
      <c r="AN6" s="53">
        <v>1833</v>
      </c>
      <c r="AO6" s="53">
        <v>43825</v>
      </c>
      <c r="AP6" s="53">
        <v>27050</v>
      </c>
      <c r="AQ6" s="53">
        <v>90810</v>
      </c>
      <c r="AR6" s="168">
        <f>AO6/AL6</f>
        <v>38.5783450704225</v>
      </c>
      <c r="AS6" s="168">
        <f>AP6/AM6</f>
        <v>39.2028985507246</v>
      </c>
      <c r="AT6" s="57">
        <f>AQ6/AN6</f>
        <v>49.5417348608838</v>
      </c>
      <c r="AU6" s="177">
        <f>T6+X6+Y6+AF6+AG6+AL6+AM6+AN6</f>
        <v>188790</v>
      </c>
      <c r="AV6" s="178">
        <f>U6+Z6+AA6+AH6+AI6+AO6+AP6+AQ6</f>
        <v>4185895</v>
      </c>
      <c r="AW6" s="312">
        <v>2115</v>
      </c>
      <c r="AX6" s="312">
        <v>34266</v>
      </c>
    </row>
    <row r="7" s="26" customFormat="1" ht="23" customHeight="1" spans="1:50">
      <c r="A7" s="52" t="s">
        <v>37</v>
      </c>
      <c r="B7" s="52">
        <v>1471</v>
      </c>
      <c r="C7" s="53">
        <v>89360</v>
      </c>
      <c r="D7" s="53">
        <v>21834</v>
      </c>
      <c r="E7" s="53">
        <v>1571255</v>
      </c>
      <c r="F7" s="53"/>
      <c r="G7" s="54"/>
      <c r="H7" s="53"/>
      <c r="I7" s="53"/>
      <c r="J7" s="53"/>
      <c r="K7" s="53"/>
      <c r="L7" s="53">
        <v>6000</v>
      </c>
      <c r="M7" s="53">
        <v>9940</v>
      </c>
      <c r="N7" s="53">
        <v>100800</v>
      </c>
      <c r="O7" s="53">
        <v>198800</v>
      </c>
      <c r="P7" s="53">
        <f>216+1032</f>
        <v>1248</v>
      </c>
      <c r="Q7" s="53">
        <f>73275+57+55</f>
        <v>73387</v>
      </c>
      <c r="R7" s="53">
        <f>3888+17316</f>
        <v>21204</v>
      </c>
      <c r="S7" s="55">
        <f>1621380+1425+720</f>
        <v>1623525</v>
      </c>
      <c r="T7" s="53">
        <f t="shared" si="0"/>
        <v>181406</v>
      </c>
      <c r="U7" s="53">
        <f>E7+G7+I7+K7+O7+S7+D7+N7+R7</f>
        <v>3537418</v>
      </c>
      <c r="V7" s="53">
        <f t="shared" si="1"/>
        <v>16.4970753526781</v>
      </c>
      <c r="W7" s="56">
        <f t="shared" si="2"/>
        <v>19.6516240365517</v>
      </c>
      <c r="X7" s="172">
        <v>146</v>
      </c>
      <c r="Y7" s="53">
        <v>35911</v>
      </c>
      <c r="Z7" s="53">
        <v>2575</v>
      </c>
      <c r="AA7" s="53">
        <v>663561</v>
      </c>
      <c r="AB7" s="167">
        <f t="shared" si="3"/>
        <v>17.6369863013699</v>
      </c>
      <c r="AC7" s="57">
        <f t="shared" si="4"/>
        <v>18.477931553006</v>
      </c>
      <c r="AD7" s="168">
        <f t="shared" si="5"/>
        <v>16.5158488437676</v>
      </c>
      <c r="AE7" s="58">
        <f t="shared" si="6"/>
        <v>19.4495680687255</v>
      </c>
      <c r="AF7" s="56"/>
      <c r="AG7" s="53"/>
      <c r="AH7" s="53"/>
      <c r="AI7" s="53">
        <v>1690</v>
      </c>
      <c r="AJ7" s="167" t="e">
        <f t="shared" si="7"/>
        <v>#DIV/0!</v>
      </c>
      <c r="AK7" s="57" t="e">
        <f t="shared" si="8"/>
        <v>#DIV/0!</v>
      </c>
      <c r="AL7" s="172">
        <v>14</v>
      </c>
      <c r="AM7" s="172">
        <v>45</v>
      </c>
      <c r="AN7" s="53">
        <v>1241</v>
      </c>
      <c r="AO7" s="53">
        <v>620</v>
      </c>
      <c r="AP7" s="53">
        <v>1640</v>
      </c>
      <c r="AQ7" s="53">
        <v>59925</v>
      </c>
      <c r="AR7" s="167">
        <f t="shared" ref="AR7:AR17" si="9">AO7/AL7</f>
        <v>44.2857142857143</v>
      </c>
      <c r="AS7" s="167">
        <f t="shared" ref="AS7:AS17" si="10">AP7/AM7</f>
        <v>36.4444444444444</v>
      </c>
      <c r="AT7" s="57">
        <f t="shared" ref="AT6:AT18" si="11">AQ7/AN7</f>
        <v>48.2876712328767</v>
      </c>
      <c r="AU7" s="177">
        <f t="shared" ref="AU7:AU18" si="12">T7+X7+Y7+AF7+AG7+AL7+AM7+AN7</f>
        <v>218763</v>
      </c>
      <c r="AV7" s="178">
        <f>U7+Z7+AA7+AH7+AI7+AO7+AP7+AQ7</f>
        <v>4267429</v>
      </c>
      <c r="AW7" s="16">
        <v>12432</v>
      </c>
      <c r="AX7" s="16">
        <v>197487.21</v>
      </c>
    </row>
    <row r="8" s="304" customFormat="1" ht="23" customHeight="1" spans="1:50">
      <c r="A8" s="313" t="s">
        <v>38</v>
      </c>
      <c r="B8" s="313">
        <v>2849</v>
      </c>
      <c r="C8" s="314">
        <v>29883</v>
      </c>
      <c r="D8" s="314">
        <v>36102</v>
      </c>
      <c r="E8" s="314">
        <f>393354-120</f>
        <v>393234</v>
      </c>
      <c r="F8" s="314"/>
      <c r="G8" s="315"/>
      <c r="H8" s="314"/>
      <c r="I8" s="314"/>
      <c r="J8" s="314">
        <v>8790</v>
      </c>
      <c r="K8" s="314">
        <v>168486</v>
      </c>
      <c r="L8" s="314">
        <v>16832</v>
      </c>
      <c r="M8" s="314">
        <v>14720</v>
      </c>
      <c r="N8" s="314">
        <v>282777.6</v>
      </c>
      <c r="O8" s="314">
        <f>356440+2800</f>
        <v>359240</v>
      </c>
      <c r="P8" s="314"/>
      <c r="Q8" s="314">
        <v>2100</v>
      </c>
      <c r="R8" s="314"/>
      <c r="S8" s="314">
        <v>51960</v>
      </c>
      <c r="T8" s="314">
        <f>B8+C8+F8+H8+J8+L8+M8+P8+Q8</f>
        <v>75174</v>
      </c>
      <c r="U8" s="314">
        <f>D8+E8+G8+I8+K8+N8+O8+R8+S8</f>
        <v>1291799.6</v>
      </c>
      <c r="V8" s="314">
        <v>16.1956483719973</v>
      </c>
      <c r="W8" s="316">
        <v>17.1283968368081</v>
      </c>
      <c r="X8" s="325">
        <v>958</v>
      </c>
      <c r="Y8" s="314">
        <v>10150</v>
      </c>
      <c r="Z8" s="314">
        <v>7552</v>
      </c>
      <c r="AA8" s="314">
        <v>140267</v>
      </c>
      <c r="AB8" s="317">
        <v>7.88308977035491</v>
      </c>
      <c r="AC8" s="318">
        <v>13.9865802869042</v>
      </c>
      <c r="AD8" s="319">
        <v>15.8052649639688</v>
      </c>
      <c r="AE8" s="320">
        <v>16.5577576063204</v>
      </c>
      <c r="AF8" s="316"/>
      <c r="AG8" s="314"/>
      <c r="AH8" s="314"/>
      <c r="AI8" s="314">
        <v>120</v>
      </c>
      <c r="AJ8" s="317" t="e">
        <v>#DIV/0!</v>
      </c>
      <c r="AK8" s="318" t="e">
        <v>#DIV/0!</v>
      </c>
      <c r="AL8" s="316"/>
      <c r="AM8" s="316">
        <v>7</v>
      </c>
      <c r="AN8" s="314">
        <v>181</v>
      </c>
      <c r="AO8" s="314"/>
      <c r="AP8" s="314">
        <v>245</v>
      </c>
      <c r="AQ8" s="314">
        <v>6346</v>
      </c>
      <c r="AR8" s="317" t="e">
        <v>#DIV/0!</v>
      </c>
      <c r="AS8" s="317">
        <v>35</v>
      </c>
      <c r="AT8" s="318">
        <v>35.060773480663</v>
      </c>
      <c r="AU8" s="321">
        <f t="shared" si="12"/>
        <v>86470</v>
      </c>
      <c r="AV8" s="322">
        <f t="shared" ref="AV7:AV19" si="13">U8+Z8+AA8+AH8+AI8+AO8+AP8+AQ8</f>
        <v>1446329.6</v>
      </c>
      <c r="AW8" s="321">
        <v>6254</v>
      </c>
      <c r="AX8" s="322">
        <v>42480</v>
      </c>
    </row>
    <row r="9" s="26" customFormat="1" ht="23" customHeight="1" spans="1:50">
      <c r="A9" s="52" t="s">
        <v>39</v>
      </c>
      <c r="B9" s="52">
        <v>5669</v>
      </c>
      <c r="C9" s="53">
        <v>42106</v>
      </c>
      <c r="D9" s="53">
        <v>79641</v>
      </c>
      <c r="E9" s="53">
        <f>746469+250</f>
        <v>746719</v>
      </c>
      <c r="F9" s="53"/>
      <c r="G9" s="53"/>
      <c r="H9" s="53">
        <v>65048</v>
      </c>
      <c r="I9" s="53">
        <v>510396</v>
      </c>
      <c r="J9" s="53"/>
      <c r="K9" s="53"/>
      <c r="L9" s="53"/>
      <c r="M9" s="53"/>
      <c r="N9" s="53"/>
      <c r="O9" s="53"/>
      <c r="P9" s="53">
        <v>288</v>
      </c>
      <c r="Q9" s="53">
        <v>3324</v>
      </c>
      <c r="R9" s="53">
        <v>4608</v>
      </c>
      <c r="S9" s="55">
        <v>83145.5</v>
      </c>
      <c r="T9" s="53">
        <f t="shared" si="0"/>
        <v>116435</v>
      </c>
      <c r="U9" s="53">
        <f>E9+G9+I9+K9+O9+S9+D9+N9+R9</f>
        <v>1424509.5</v>
      </c>
      <c r="V9" s="53">
        <f t="shared" si="1"/>
        <v>14.1428571428571</v>
      </c>
      <c r="W9" s="56">
        <f t="shared" si="2"/>
        <v>18.2668831168831</v>
      </c>
      <c r="X9" s="172">
        <v>1200</v>
      </c>
      <c r="Y9" s="53">
        <v>7262</v>
      </c>
      <c r="Z9" s="53">
        <v>15993</v>
      </c>
      <c r="AA9" s="53">
        <v>120786</v>
      </c>
      <c r="AB9" s="167">
        <f t="shared" si="3"/>
        <v>13.3275</v>
      </c>
      <c r="AC9" s="57">
        <f t="shared" si="4"/>
        <v>16.632608096943</v>
      </c>
      <c r="AD9" s="168">
        <f t="shared" si="5"/>
        <v>14.0061478273019</v>
      </c>
      <c r="AE9" s="58">
        <f t="shared" si="6"/>
        <v>18.0416476884537</v>
      </c>
      <c r="AF9" s="56"/>
      <c r="AG9" s="53"/>
      <c r="AH9" s="53"/>
      <c r="AI9" s="53"/>
      <c r="AJ9" s="167" t="e">
        <f t="shared" si="7"/>
        <v>#DIV/0!</v>
      </c>
      <c r="AK9" s="57" t="e">
        <f t="shared" si="8"/>
        <v>#DIV/0!</v>
      </c>
      <c r="AL9" s="56"/>
      <c r="AM9" s="56"/>
      <c r="AN9" s="53"/>
      <c r="AO9" s="53"/>
      <c r="AP9" s="53"/>
      <c r="AQ9" s="53"/>
      <c r="AR9" s="167" t="e">
        <f t="shared" si="9"/>
        <v>#DIV/0!</v>
      </c>
      <c r="AS9" s="167" t="e">
        <f t="shared" si="10"/>
        <v>#DIV/0!</v>
      </c>
      <c r="AT9" s="57" t="e">
        <f t="shared" si="11"/>
        <v>#DIV/0!</v>
      </c>
      <c r="AU9" s="177">
        <f t="shared" si="12"/>
        <v>124897</v>
      </c>
      <c r="AV9" s="178">
        <f t="shared" si="13"/>
        <v>1561288.5</v>
      </c>
      <c r="AW9" s="177">
        <v>988</v>
      </c>
      <c r="AX9" s="178">
        <v>6765</v>
      </c>
    </row>
    <row r="10" s="26" customFormat="1" ht="23" customHeight="1" spans="1:50">
      <c r="A10" s="52" t="s">
        <v>40</v>
      </c>
      <c r="B10" s="52">
        <v>6966</v>
      </c>
      <c r="C10" s="53">
        <f>27477-72</f>
        <v>27405</v>
      </c>
      <c r="D10" s="53">
        <v>84796</v>
      </c>
      <c r="E10" s="53">
        <f>451403-1008-900</f>
        <v>449495</v>
      </c>
      <c r="F10" s="53"/>
      <c r="G10" s="54"/>
      <c r="H10" s="53"/>
      <c r="I10" s="53"/>
      <c r="J10" s="53"/>
      <c r="K10" s="53"/>
      <c r="L10" s="53"/>
      <c r="M10" s="53"/>
      <c r="N10" s="53"/>
      <c r="O10" s="53"/>
      <c r="P10" s="53">
        <v>2260</v>
      </c>
      <c r="Q10" s="53">
        <v>4236</v>
      </c>
      <c r="R10" s="53">
        <v>40528</v>
      </c>
      <c r="S10" s="55">
        <v>95494</v>
      </c>
      <c r="T10" s="53">
        <f t="shared" si="0"/>
        <v>40867</v>
      </c>
      <c r="U10" s="53">
        <f t="shared" ref="U6:U17" si="14">E10+G10+I10+K10+O10+S10+D10+N10+R10</f>
        <v>670313</v>
      </c>
      <c r="V10" s="56">
        <f t="shared" si="1"/>
        <v>13.5837849555604</v>
      </c>
      <c r="W10" s="56">
        <f t="shared" si="2"/>
        <v>17.2241395657533</v>
      </c>
      <c r="X10" s="172">
        <v>1810</v>
      </c>
      <c r="Y10" s="53">
        <v>6320</v>
      </c>
      <c r="Z10" s="53">
        <v>22671</v>
      </c>
      <c r="AA10" s="53">
        <v>104183</v>
      </c>
      <c r="AB10" s="168">
        <f t="shared" si="3"/>
        <v>12.5254143646409</v>
      </c>
      <c r="AC10" s="57">
        <f t="shared" si="4"/>
        <v>16.4846518987342</v>
      </c>
      <c r="AD10" s="168">
        <f t="shared" si="5"/>
        <v>13.4102029720913</v>
      </c>
      <c r="AE10" s="58">
        <f t="shared" si="6"/>
        <v>17.1010247359132</v>
      </c>
      <c r="AF10" s="172"/>
      <c r="AG10" s="53"/>
      <c r="AH10" s="53"/>
      <c r="AI10" s="53"/>
      <c r="AJ10" s="168" t="e">
        <f t="shared" si="7"/>
        <v>#DIV/0!</v>
      </c>
      <c r="AK10" s="57" t="e">
        <f t="shared" si="8"/>
        <v>#DIV/0!</v>
      </c>
      <c r="AL10" s="172"/>
      <c r="AM10" s="172"/>
      <c r="AN10" s="53"/>
      <c r="AO10" s="53"/>
      <c r="AP10" s="53"/>
      <c r="AQ10" s="53"/>
      <c r="AR10" s="167" t="e">
        <f t="shared" si="9"/>
        <v>#DIV/0!</v>
      </c>
      <c r="AS10" s="167" t="e">
        <f t="shared" si="10"/>
        <v>#DIV/0!</v>
      </c>
      <c r="AT10" s="57" t="e">
        <f t="shared" si="11"/>
        <v>#DIV/0!</v>
      </c>
      <c r="AU10" s="177">
        <f t="shared" si="12"/>
        <v>48997</v>
      </c>
      <c r="AV10" s="178">
        <f t="shared" si="13"/>
        <v>797167</v>
      </c>
      <c r="AW10" s="177">
        <v>10303</v>
      </c>
      <c r="AX10" s="178">
        <v>67555</v>
      </c>
    </row>
    <row r="11" s="26" customFormat="1" ht="23" customHeight="1" spans="1:50">
      <c r="A11" s="52" t="s">
        <v>42</v>
      </c>
      <c r="B11" s="52">
        <f>'26数据'!B6</f>
        <v>2206</v>
      </c>
      <c r="C11" s="53">
        <f>'26数据'!B7</f>
        <v>17812</v>
      </c>
      <c r="D11" s="53">
        <f>'26数据'!C6</f>
        <v>30053</v>
      </c>
      <c r="E11" s="53">
        <f>'26数据'!C7</f>
        <v>314316</v>
      </c>
      <c r="F11" s="53"/>
      <c r="G11" s="55"/>
      <c r="H11" s="53"/>
      <c r="I11" s="53"/>
      <c r="J11" s="53"/>
      <c r="K11" s="53"/>
      <c r="L11" s="53"/>
      <c r="M11" s="53"/>
      <c r="N11" s="53"/>
      <c r="O11" s="53"/>
      <c r="P11" s="53">
        <f>'26数据'!B4</f>
        <v>1940</v>
      </c>
      <c r="Q11" s="53">
        <f>'26数据'!B5</f>
        <v>4100</v>
      </c>
      <c r="R11" s="53">
        <f>'26数据'!C4</f>
        <v>32456</v>
      </c>
      <c r="S11" s="55">
        <f>'26数据'!C5</f>
        <v>102424</v>
      </c>
      <c r="T11" s="53">
        <f t="shared" si="0"/>
        <v>26058</v>
      </c>
      <c r="U11" s="53">
        <f t="shared" si="14"/>
        <v>479249</v>
      </c>
      <c r="V11" s="53">
        <f t="shared" si="1"/>
        <v>15.0769416304872</v>
      </c>
      <c r="W11" s="56">
        <f t="shared" si="2"/>
        <v>19.0188024826579</v>
      </c>
      <c r="X11" s="172">
        <f>'26数据'!B8</f>
        <v>613</v>
      </c>
      <c r="Y11" s="53">
        <f>'26数据'!B9</f>
        <v>3720</v>
      </c>
      <c r="Z11" s="53">
        <f>'26数据'!C8</f>
        <v>9203</v>
      </c>
      <c r="AA11" s="53">
        <f>'26数据'!C9</f>
        <v>60496</v>
      </c>
      <c r="AB11" s="167">
        <f t="shared" si="3"/>
        <v>15.0130505709625</v>
      </c>
      <c r="AC11" s="57">
        <f t="shared" si="4"/>
        <v>16.2623655913978</v>
      </c>
      <c r="AD11" s="168">
        <f t="shared" si="5"/>
        <v>15.0687119142677</v>
      </c>
      <c r="AE11" s="58">
        <f t="shared" si="6"/>
        <v>18.6187578027466</v>
      </c>
      <c r="AF11" s="172"/>
      <c r="AG11" s="53"/>
      <c r="AH11" s="53"/>
      <c r="AI11" s="53"/>
      <c r="AJ11" s="167" t="e">
        <f t="shared" si="7"/>
        <v>#DIV/0!</v>
      </c>
      <c r="AK11" s="57" t="e">
        <f t="shared" si="8"/>
        <v>#DIV/0!</v>
      </c>
      <c r="AL11" s="172"/>
      <c r="AM11" s="172"/>
      <c r="AN11" s="53"/>
      <c r="AO11" s="53"/>
      <c r="AP11" s="53"/>
      <c r="AQ11" s="53"/>
      <c r="AR11" s="167" t="e">
        <f t="shared" si="9"/>
        <v>#DIV/0!</v>
      </c>
      <c r="AS11" s="167" t="e">
        <f t="shared" si="10"/>
        <v>#DIV/0!</v>
      </c>
      <c r="AT11" s="57" t="e">
        <f t="shared" si="11"/>
        <v>#DIV/0!</v>
      </c>
      <c r="AU11" s="177">
        <f t="shared" si="12"/>
        <v>30391</v>
      </c>
      <c r="AV11" s="178">
        <f t="shared" si="13"/>
        <v>548948</v>
      </c>
      <c r="AW11" s="177">
        <f>'26数据'!B15</f>
        <v>1940</v>
      </c>
      <c r="AX11" s="178">
        <f>'26数据'!C15</f>
        <v>9490</v>
      </c>
    </row>
    <row r="12" s="26" customFormat="1" ht="23" customHeight="1" spans="1:50">
      <c r="A12" s="52"/>
      <c r="B12" s="52"/>
      <c r="C12" s="53"/>
      <c r="D12" s="53"/>
      <c r="E12" s="53"/>
      <c r="F12" s="53"/>
      <c r="G12" s="54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5"/>
      <c r="T12" s="53">
        <f t="shared" si="0"/>
        <v>0</v>
      </c>
      <c r="U12" s="53">
        <f t="shared" si="14"/>
        <v>0</v>
      </c>
      <c r="V12" s="53" t="e">
        <f t="shared" si="1"/>
        <v>#DIV/0!</v>
      </c>
      <c r="W12" s="56" t="e">
        <f t="shared" si="2"/>
        <v>#DIV/0!</v>
      </c>
      <c r="X12" s="172"/>
      <c r="Y12" s="53"/>
      <c r="Z12" s="53"/>
      <c r="AA12" s="53"/>
      <c r="AB12" s="167" t="e">
        <f t="shared" si="3"/>
        <v>#DIV/0!</v>
      </c>
      <c r="AC12" s="57" t="e">
        <f t="shared" si="4"/>
        <v>#DIV/0!</v>
      </c>
      <c r="AD12" s="168" t="e">
        <f t="shared" si="5"/>
        <v>#DIV/0!</v>
      </c>
      <c r="AE12" s="58" t="e">
        <f t="shared" si="6"/>
        <v>#DIV/0!</v>
      </c>
      <c r="AF12" s="172"/>
      <c r="AG12" s="53"/>
      <c r="AH12" s="53"/>
      <c r="AI12" s="53"/>
      <c r="AJ12" s="167" t="e">
        <f t="shared" si="7"/>
        <v>#DIV/0!</v>
      </c>
      <c r="AK12" s="57" t="e">
        <f t="shared" si="8"/>
        <v>#DIV/0!</v>
      </c>
      <c r="AL12" s="172"/>
      <c r="AM12" s="172"/>
      <c r="AN12" s="53"/>
      <c r="AO12" s="53"/>
      <c r="AP12" s="53"/>
      <c r="AQ12" s="53"/>
      <c r="AR12" s="167" t="e">
        <f t="shared" si="9"/>
        <v>#DIV/0!</v>
      </c>
      <c r="AS12" s="167" t="e">
        <f t="shared" si="10"/>
        <v>#DIV/0!</v>
      </c>
      <c r="AT12" s="57" t="e">
        <f t="shared" si="11"/>
        <v>#DIV/0!</v>
      </c>
      <c r="AU12" s="177">
        <f t="shared" si="12"/>
        <v>0</v>
      </c>
      <c r="AV12" s="178">
        <f t="shared" si="13"/>
        <v>0</v>
      </c>
      <c r="AW12" s="177"/>
      <c r="AX12" s="178"/>
    </row>
    <row r="13" s="26" customFormat="1" ht="23" customHeight="1" spans="1:50">
      <c r="A13" s="52"/>
      <c r="B13" s="52"/>
      <c r="C13" s="53"/>
      <c r="D13" s="53"/>
      <c r="E13" s="53"/>
      <c r="F13" s="53"/>
      <c r="G13" s="54"/>
      <c r="H13" s="53"/>
      <c r="I13" s="53"/>
      <c r="J13" s="53"/>
      <c r="K13" s="53"/>
      <c r="L13" s="53"/>
      <c r="M13" s="53"/>
      <c r="N13" s="53"/>
      <c r="O13" s="172"/>
      <c r="P13" s="172"/>
      <c r="Q13" s="53"/>
      <c r="R13" s="53"/>
      <c r="S13" s="55"/>
      <c r="T13" s="53">
        <f t="shared" si="0"/>
        <v>0</v>
      </c>
      <c r="U13" s="53">
        <f t="shared" si="14"/>
        <v>0</v>
      </c>
      <c r="V13" s="56" t="e">
        <f t="shared" si="1"/>
        <v>#DIV/0!</v>
      </c>
      <c r="W13" s="56" t="e">
        <f t="shared" si="2"/>
        <v>#DIV/0!</v>
      </c>
      <c r="X13" s="172"/>
      <c r="Y13" s="53"/>
      <c r="Z13" s="53"/>
      <c r="AA13" s="53"/>
      <c r="AB13" s="167" t="e">
        <f t="shared" si="3"/>
        <v>#DIV/0!</v>
      </c>
      <c r="AC13" s="57" t="e">
        <f t="shared" si="4"/>
        <v>#DIV/0!</v>
      </c>
      <c r="AD13" s="168" t="e">
        <f t="shared" si="5"/>
        <v>#DIV/0!</v>
      </c>
      <c r="AE13" s="58" t="e">
        <f t="shared" si="6"/>
        <v>#DIV/0!</v>
      </c>
      <c r="AF13" s="172"/>
      <c r="AG13" s="53"/>
      <c r="AH13" s="53"/>
      <c r="AI13" s="53"/>
      <c r="AJ13" s="167" t="e">
        <f t="shared" si="7"/>
        <v>#DIV/0!</v>
      </c>
      <c r="AK13" s="57" t="e">
        <f t="shared" si="8"/>
        <v>#DIV/0!</v>
      </c>
      <c r="AL13" s="172"/>
      <c r="AM13" s="172"/>
      <c r="AN13" s="53"/>
      <c r="AO13" s="53"/>
      <c r="AP13" s="53"/>
      <c r="AQ13" s="53"/>
      <c r="AR13" s="167" t="e">
        <f t="shared" si="9"/>
        <v>#DIV/0!</v>
      </c>
      <c r="AS13" s="167" t="e">
        <f t="shared" si="10"/>
        <v>#DIV/0!</v>
      </c>
      <c r="AT13" s="57" t="e">
        <f t="shared" si="11"/>
        <v>#DIV/0!</v>
      </c>
      <c r="AU13" s="177">
        <f t="shared" si="12"/>
        <v>0</v>
      </c>
      <c r="AV13" s="178">
        <f t="shared" si="13"/>
        <v>0</v>
      </c>
      <c r="AW13" s="177"/>
      <c r="AX13" s="178"/>
    </row>
    <row r="14" s="26" customFormat="1" ht="23" customHeight="1" spans="1:50">
      <c r="A14" s="52"/>
      <c r="B14" s="52"/>
      <c r="C14" s="53"/>
      <c r="D14" s="53"/>
      <c r="E14" s="53"/>
      <c r="F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5"/>
      <c r="T14" s="53">
        <f t="shared" si="0"/>
        <v>0</v>
      </c>
      <c r="U14" s="53">
        <f t="shared" si="14"/>
        <v>0</v>
      </c>
      <c r="V14" s="53" t="e">
        <f t="shared" si="1"/>
        <v>#DIV/0!</v>
      </c>
      <c r="W14" s="56" t="e">
        <f t="shared" si="2"/>
        <v>#DIV/0!</v>
      </c>
      <c r="X14" s="172"/>
      <c r="Y14" s="53"/>
      <c r="Z14" s="53"/>
      <c r="AA14" s="53"/>
      <c r="AB14" s="167" t="e">
        <f t="shared" si="3"/>
        <v>#DIV/0!</v>
      </c>
      <c r="AC14" s="57" t="e">
        <f t="shared" si="4"/>
        <v>#DIV/0!</v>
      </c>
      <c r="AD14" s="168" t="e">
        <f t="shared" si="5"/>
        <v>#DIV/0!</v>
      </c>
      <c r="AE14" s="58" t="e">
        <f t="shared" si="6"/>
        <v>#DIV/0!</v>
      </c>
      <c r="AF14" s="172"/>
      <c r="AG14" s="53"/>
      <c r="AH14" s="53"/>
      <c r="AI14" s="53"/>
      <c r="AJ14" s="167" t="e">
        <f t="shared" si="7"/>
        <v>#DIV/0!</v>
      </c>
      <c r="AK14" s="57" t="e">
        <f t="shared" si="8"/>
        <v>#DIV/0!</v>
      </c>
      <c r="AL14" s="172"/>
      <c r="AM14" s="172"/>
      <c r="AN14" s="53"/>
      <c r="AO14" s="53"/>
      <c r="AP14" s="53"/>
      <c r="AQ14" s="53"/>
      <c r="AR14" s="167" t="e">
        <f t="shared" si="9"/>
        <v>#DIV/0!</v>
      </c>
      <c r="AS14" s="167" t="e">
        <f t="shared" si="10"/>
        <v>#DIV/0!</v>
      </c>
      <c r="AT14" s="57" t="e">
        <f t="shared" si="11"/>
        <v>#DIV/0!</v>
      </c>
      <c r="AU14" s="177">
        <f t="shared" si="12"/>
        <v>0</v>
      </c>
      <c r="AV14" s="178">
        <f t="shared" si="13"/>
        <v>0</v>
      </c>
      <c r="AW14" s="177"/>
      <c r="AX14" s="178"/>
    </row>
    <row r="15" s="26" customFormat="1" ht="23" customHeight="1" spans="1:50">
      <c r="A15" s="52"/>
      <c r="B15" s="52"/>
      <c r="C15" s="53"/>
      <c r="D15" s="53"/>
      <c r="E15" s="53"/>
      <c r="F15" s="53"/>
      <c r="G15" s="54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4"/>
      <c r="T15" s="53">
        <f t="shared" si="0"/>
        <v>0</v>
      </c>
      <c r="U15" s="53">
        <f t="shared" si="14"/>
        <v>0</v>
      </c>
      <c r="V15" s="53" t="e">
        <f t="shared" si="1"/>
        <v>#DIV/0!</v>
      </c>
      <c r="W15" s="56" t="e">
        <f t="shared" si="2"/>
        <v>#DIV/0!</v>
      </c>
      <c r="X15" s="172"/>
      <c r="Y15" s="53"/>
      <c r="Z15" s="53"/>
      <c r="AA15" s="53"/>
      <c r="AB15" s="167" t="e">
        <f t="shared" si="3"/>
        <v>#DIV/0!</v>
      </c>
      <c r="AC15" s="57" t="e">
        <f t="shared" si="4"/>
        <v>#DIV/0!</v>
      </c>
      <c r="AD15" s="168" t="e">
        <f t="shared" si="5"/>
        <v>#DIV/0!</v>
      </c>
      <c r="AE15" s="58" t="e">
        <f t="shared" si="6"/>
        <v>#DIV/0!</v>
      </c>
      <c r="AF15" s="169"/>
      <c r="AG15" s="53"/>
      <c r="AH15" s="53"/>
      <c r="AI15" s="53"/>
      <c r="AJ15" s="53" t="e">
        <f t="shared" si="7"/>
        <v>#DIV/0!</v>
      </c>
      <c r="AK15" s="56" t="e">
        <f t="shared" si="8"/>
        <v>#DIV/0!</v>
      </c>
      <c r="AL15" s="169"/>
      <c r="AM15" s="323"/>
      <c r="AN15" s="53"/>
      <c r="AO15" s="53"/>
      <c r="AP15" s="53"/>
      <c r="AQ15" s="53"/>
      <c r="AR15" s="167" t="e">
        <f t="shared" si="9"/>
        <v>#DIV/0!</v>
      </c>
      <c r="AS15" s="167" t="e">
        <f t="shared" si="10"/>
        <v>#DIV/0!</v>
      </c>
      <c r="AT15" s="57" t="e">
        <f t="shared" si="11"/>
        <v>#DIV/0!</v>
      </c>
      <c r="AU15" s="177">
        <f t="shared" si="12"/>
        <v>0</v>
      </c>
      <c r="AV15" s="178">
        <f t="shared" si="13"/>
        <v>0</v>
      </c>
      <c r="AW15" s="177"/>
      <c r="AX15" s="178"/>
    </row>
    <row r="16" s="26" customFormat="1" ht="23" customHeight="1" spans="1:50">
      <c r="A16" s="52"/>
      <c r="B16" s="52"/>
      <c r="C16" s="53"/>
      <c r="D16" s="53"/>
      <c r="E16" s="53"/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172"/>
      <c r="T16" s="53">
        <f t="shared" si="0"/>
        <v>0</v>
      </c>
      <c r="U16" s="53">
        <f t="shared" si="14"/>
        <v>0</v>
      </c>
      <c r="V16" s="53" t="e">
        <f t="shared" si="1"/>
        <v>#DIV/0!</v>
      </c>
      <c r="W16" s="56" t="e">
        <f t="shared" si="2"/>
        <v>#DIV/0!</v>
      </c>
      <c r="X16" s="176"/>
      <c r="Y16" s="53"/>
      <c r="Z16" s="53"/>
      <c r="AA16" s="53"/>
      <c r="AB16" s="167" t="e">
        <f t="shared" si="3"/>
        <v>#DIV/0!</v>
      </c>
      <c r="AC16" s="57" t="e">
        <f t="shared" si="4"/>
        <v>#DIV/0!</v>
      </c>
      <c r="AD16" s="168" t="e">
        <f t="shared" si="5"/>
        <v>#DIV/0!</v>
      </c>
      <c r="AE16" s="58" t="e">
        <f t="shared" si="6"/>
        <v>#DIV/0!</v>
      </c>
      <c r="AF16" s="169"/>
      <c r="AG16" s="53"/>
      <c r="AH16" s="53"/>
      <c r="AI16" s="53"/>
      <c r="AJ16" s="53" t="e">
        <f t="shared" si="7"/>
        <v>#DIV/0!</v>
      </c>
      <c r="AK16" s="53" t="e">
        <f t="shared" si="8"/>
        <v>#DIV/0!</v>
      </c>
      <c r="AL16" s="169"/>
      <c r="AM16" s="323"/>
      <c r="AN16" s="53"/>
      <c r="AO16" s="53"/>
      <c r="AP16" s="53"/>
      <c r="AQ16" s="53"/>
      <c r="AR16" s="167" t="e">
        <f t="shared" si="9"/>
        <v>#DIV/0!</v>
      </c>
      <c r="AS16" s="167" t="e">
        <f t="shared" si="10"/>
        <v>#DIV/0!</v>
      </c>
      <c r="AT16" s="170" t="e">
        <f t="shared" si="11"/>
        <v>#DIV/0!</v>
      </c>
      <c r="AU16" s="177">
        <f t="shared" si="12"/>
        <v>0</v>
      </c>
      <c r="AV16" s="178">
        <f t="shared" si="13"/>
        <v>0</v>
      </c>
      <c r="AW16" s="177"/>
      <c r="AX16" s="178"/>
    </row>
    <row r="17" s="26" customFormat="1" ht="23" customHeight="1" spans="1:50">
      <c r="A17" s="52"/>
      <c r="B17" s="52"/>
      <c r="C17" s="53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5"/>
      <c r="T17" s="53">
        <f t="shared" si="0"/>
        <v>0</v>
      </c>
      <c r="U17" s="53">
        <f t="shared" si="14"/>
        <v>0</v>
      </c>
      <c r="V17" s="53" t="e">
        <f t="shared" si="1"/>
        <v>#DIV/0!</v>
      </c>
      <c r="W17" s="56" t="e">
        <f t="shared" si="2"/>
        <v>#DIV/0!</v>
      </c>
      <c r="X17" s="172"/>
      <c r="Y17" s="53"/>
      <c r="Z17" s="53"/>
      <c r="AA17" s="53"/>
      <c r="AB17" s="167" t="e">
        <f t="shared" si="3"/>
        <v>#DIV/0!</v>
      </c>
      <c r="AC17" s="57" t="e">
        <f t="shared" si="4"/>
        <v>#DIV/0!</v>
      </c>
      <c r="AD17" s="168" t="e">
        <f t="shared" si="5"/>
        <v>#DIV/0!</v>
      </c>
      <c r="AE17" s="58" t="e">
        <f t="shared" si="6"/>
        <v>#DIV/0!</v>
      </c>
      <c r="AF17" s="169"/>
      <c r="AG17" s="53"/>
      <c r="AH17" s="53"/>
      <c r="AI17" s="53"/>
      <c r="AJ17" s="53" t="e">
        <f t="shared" si="7"/>
        <v>#DIV/0!</v>
      </c>
      <c r="AK17" s="53" t="e">
        <f t="shared" si="8"/>
        <v>#DIV/0!</v>
      </c>
      <c r="AL17" s="169"/>
      <c r="AM17" s="323"/>
      <c r="AN17" s="53"/>
      <c r="AO17" s="53"/>
      <c r="AP17" s="53"/>
      <c r="AQ17" s="53"/>
      <c r="AR17" s="167" t="e">
        <f t="shared" si="9"/>
        <v>#DIV/0!</v>
      </c>
      <c r="AS17" s="167" t="e">
        <f t="shared" si="10"/>
        <v>#DIV/0!</v>
      </c>
      <c r="AT17" s="170" t="e">
        <f t="shared" si="11"/>
        <v>#DIV/0!</v>
      </c>
      <c r="AU17" s="177">
        <f t="shared" si="12"/>
        <v>0</v>
      </c>
      <c r="AV17" s="178">
        <f t="shared" si="13"/>
        <v>0</v>
      </c>
      <c r="AW17" s="177"/>
      <c r="AX17" s="178"/>
    </row>
    <row r="18" s="26" customFormat="1" ht="29" customHeight="1" spans="1:50">
      <c r="A18" s="59" t="s">
        <v>43</v>
      </c>
      <c r="B18" s="59">
        <f t="shared" ref="B18:U18" si="15">SUM(B6:B17)</f>
        <v>22229</v>
      </c>
      <c r="C18" s="59">
        <f t="shared" si="15"/>
        <v>262640</v>
      </c>
      <c r="D18" s="59">
        <f t="shared" si="15"/>
        <v>309352</v>
      </c>
      <c r="E18" s="59">
        <f t="shared" si="15"/>
        <v>4592291</v>
      </c>
      <c r="F18" s="59">
        <f t="shared" si="15"/>
        <v>0</v>
      </c>
      <c r="G18" s="59">
        <f t="shared" si="15"/>
        <v>0</v>
      </c>
      <c r="H18" s="59">
        <f t="shared" si="15"/>
        <v>65048</v>
      </c>
      <c r="I18" s="59">
        <f t="shared" si="15"/>
        <v>510396</v>
      </c>
      <c r="J18" s="59">
        <f t="shared" si="15"/>
        <v>10248</v>
      </c>
      <c r="K18" s="59">
        <f t="shared" si="15"/>
        <v>173589</v>
      </c>
      <c r="L18" s="59">
        <f t="shared" si="15"/>
        <v>22832</v>
      </c>
      <c r="M18" s="59">
        <f t="shared" si="15"/>
        <v>24660</v>
      </c>
      <c r="N18" s="59">
        <f t="shared" si="15"/>
        <v>383577.6</v>
      </c>
      <c r="O18" s="59">
        <f t="shared" si="15"/>
        <v>558040</v>
      </c>
      <c r="P18" s="59">
        <f t="shared" si="15"/>
        <v>7442</v>
      </c>
      <c r="Q18" s="59">
        <f t="shared" si="15"/>
        <v>189314</v>
      </c>
      <c r="R18" s="59">
        <f t="shared" si="15"/>
        <v>129618</v>
      </c>
      <c r="S18" s="59">
        <f t="shared" si="15"/>
        <v>4358612.5</v>
      </c>
      <c r="T18" s="60">
        <f t="shared" si="15"/>
        <v>604413</v>
      </c>
      <c r="U18" s="60">
        <f t="shared" si="15"/>
        <v>11015476.1</v>
      </c>
      <c r="V18" s="62">
        <f t="shared" si="1"/>
        <v>15.6666780945851</v>
      </c>
      <c r="W18" s="62">
        <f t="shared" si="2"/>
        <v>19.9510368977831</v>
      </c>
      <c r="X18" s="62">
        <f>SUM(X6:X17)</f>
        <v>5376</v>
      </c>
      <c r="Y18" s="60">
        <f t="shared" ref="X18:AA18" si="16">SUM(Y6:Y17)</f>
        <v>83269</v>
      </c>
      <c r="Z18" s="60">
        <f t="shared" si="16"/>
        <v>69585</v>
      </c>
      <c r="AA18" s="60">
        <f t="shared" si="16"/>
        <v>1486601</v>
      </c>
      <c r="AB18" s="184">
        <f t="shared" si="3"/>
        <v>12.9436383928571</v>
      </c>
      <c r="AC18" s="63">
        <f t="shared" si="4"/>
        <v>17.8529945117631</v>
      </c>
      <c r="AD18" s="184">
        <f t="shared" si="5"/>
        <v>15.4137528291781</v>
      </c>
      <c r="AE18" s="64">
        <f t="shared" si="6"/>
        <v>19.6390040419159</v>
      </c>
      <c r="AF18" s="62">
        <f t="shared" ref="AF18:AI18" si="17">SUM(AF6:AF17)</f>
        <v>0</v>
      </c>
      <c r="AG18" s="60">
        <f t="shared" si="17"/>
        <v>103</v>
      </c>
      <c r="AH18" s="60">
        <f t="shared" si="17"/>
        <v>0</v>
      </c>
      <c r="AI18" s="60">
        <f t="shared" si="17"/>
        <v>4934</v>
      </c>
      <c r="AJ18" s="184" t="e">
        <f t="shared" si="7"/>
        <v>#DIV/0!</v>
      </c>
      <c r="AK18" s="63">
        <f t="shared" si="8"/>
        <v>47.9029126213592</v>
      </c>
      <c r="AL18" s="62">
        <f>SUM(AL6:AL17)</f>
        <v>1150</v>
      </c>
      <c r="AM18" s="62">
        <f t="shared" ref="AM18:AT18" si="18">SUM(AM6:AM17)</f>
        <v>742</v>
      </c>
      <c r="AN18" s="62">
        <f t="shared" si="18"/>
        <v>3255</v>
      </c>
      <c r="AO18" s="62">
        <f t="shared" si="18"/>
        <v>44445</v>
      </c>
      <c r="AP18" s="62">
        <f t="shared" si="18"/>
        <v>28935</v>
      </c>
      <c r="AQ18" s="62">
        <f t="shared" si="18"/>
        <v>157081</v>
      </c>
      <c r="AR18" s="62" t="e">
        <f t="shared" si="18"/>
        <v>#DIV/0!</v>
      </c>
      <c r="AS18" s="62" t="e">
        <f t="shared" si="18"/>
        <v>#DIV/0!</v>
      </c>
      <c r="AT18" s="63" t="e">
        <f t="shared" si="18"/>
        <v>#DIV/0!</v>
      </c>
      <c r="AU18" s="244">
        <f t="shared" si="12"/>
        <v>698308</v>
      </c>
      <c r="AV18" s="178">
        <f t="shared" si="13"/>
        <v>12807057.1</v>
      </c>
      <c r="AW18" s="244">
        <f>SUM(AW6:AW17)</f>
        <v>34032</v>
      </c>
      <c r="AX18" s="244">
        <f>SUM(AX6:AX17)</f>
        <v>358043.21</v>
      </c>
    </row>
    <row r="19" spans="1:50">
      <c r="AV19" s="324"/>
    </row>
    <row r="20" spans="1:50">
      <c r="AV20" s="202">
        <f>AU18+AW18</f>
        <v>732340</v>
      </c>
    </row>
    <row r="21" spans="1:50">
      <c r="U21" s="27">
        <f>E7+O7+S7</f>
        <v>3393580</v>
      </c>
      <c r="AW21">
        <f>AV8+AX8</f>
        <v>1488809.6</v>
      </c>
      <c r="AX21">
        <v>33976</v>
      </c>
    </row>
    <row r="22" spans="1:50">
      <c r="AW22">
        <f>AV9+AX9</f>
        <v>1568053.5</v>
      </c>
      <c r="AX22">
        <v>14783</v>
      </c>
    </row>
  </sheetData>
  <mergeCells count="40">
    <mergeCell ref="A1:AC1"/>
    <mergeCell ref="C2:W2"/>
    <mergeCell ref="Y2:AC2"/>
    <mergeCell ref="AG2:AK2"/>
    <mergeCell ref="AL2:AT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AU2:AU5"/>
    <mergeCell ref="AV2:AV5"/>
    <mergeCell ref="AW2:AW5"/>
    <mergeCell ref="AX2:AX5"/>
    <mergeCell ref="AD2:AE4"/>
    <mergeCell ref="V3:W4"/>
    <mergeCell ref="X3:Y4"/>
    <mergeCell ref="Z3:AA4"/>
    <mergeCell ref="AB3:AC4"/>
    <mergeCell ref="AF3:AG4"/>
    <mergeCell ref="AH3:AI4"/>
    <mergeCell ref="AJ3:AK4"/>
    <mergeCell ref="AL3:AN4"/>
    <mergeCell ref="AO3:AQ4"/>
    <mergeCell ref="AR3:AT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9"/>
  <sheetViews>
    <sheetView tabSelected="1" topLeftCell="AG1" workbookViewId="0">
      <selection activeCell="AV20" sqref="AV20"/>
    </sheetView>
  </sheetViews>
  <sheetFormatPr defaultColWidth="9" defaultRowHeight="15.6"/>
  <cols>
    <col min="1" max="1" width="11.75" style="27" customWidth="1"/>
    <col min="2" max="2" width="8.325" style="27" customWidth="1"/>
    <col min="3" max="4" width="7.75" style="27" customWidth="1"/>
    <col min="5" max="5" width="8.60833333333333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9.3" style="27" customWidth="1"/>
    <col min="16" max="16" width="7.775" style="27" customWidth="1"/>
    <col min="17" max="18" width="8.125" style="27" customWidth="1"/>
    <col min="19" max="19" width="9.3" style="27" customWidth="1"/>
    <col min="20" max="21" width="9.375" style="27" customWidth="1"/>
    <col min="22" max="22" width="13.8916666666667" style="27" customWidth="1"/>
    <col min="23" max="24" width="8.875" style="28" customWidth="1"/>
    <col min="25" max="26" width="8.875" style="27" customWidth="1"/>
    <col min="27" max="27" width="10.75" style="27" customWidth="1"/>
    <col min="28" max="28" width="11.525" style="27" customWidth="1"/>
    <col min="29" max="32" width="8.875" style="28" customWidth="1"/>
    <col min="33" max="34" width="8.875" style="27" customWidth="1"/>
    <col min="35" max="35" width="10.75" style="27" customWidth="1"/>
    <col min="36" max="36" width="11.525" style="27" customWidth="1"/>
    <col min="37" max="39" width="8.875" style="28" customWidth="1"/>
    <col min="40" max="40" width="8.875" style="27" customWidth="1"/>
    <col min="41" max="41" width="11.25" style="27" customWidth="1"/>
    <col min="42" max="42" width="11.625" style="27" customWidth="1"/>
    <col min="43" max="43" width="10.75" style="27" customWidth="1"/>
    <col min="44" max="44" width="11.525" style="27" customWidth="1"/>
    <col min="45" max="45" width="11.875" style="27" customWidth="1"/>
    <col min="46" max="46" width="8.875" style="28" customWidth="1"/>
    <col min="47" max="47" width="18.75" style="202" customWidth="1"/>
    <col min="48" max="48" width="17.875" style="202" customWidth="1"/>
    <col min="49" max="49" width="21.5" customWidth="1"/>
    <col min="50" max="50" width="22.5" customWidth="1"/>
  </cols>
  <sheetData>
    <row r="1" customFormat="1" ht="30" customHeight="1" spans="1:50">
      <c r="A1" s="29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  <c r="AF1" s="30"/>
      <c r="AG1" s="29"/>
      <c r="AH1" s="29"/>
      <c r="AI1" s="29"/>
      <c r="AJ1" s="29"/>
      <c r="AK1" s="30"/>
      <c r="AL1" s="30"/>
      <c r="AM1" s="30"/>
      <c r="AN1" s="29"/>
      <c r="AO1" s="29"/>
      <c r="AP1" s="29"/>
      <c r="AQ1" s="29"/>
      <c r="AR1" s="29"/>
      <c r="AS1" s="29"/>
      <c r="AT1" s="30"/>
      <c r="AU1" s="202"/>
      <c r="AV1" s="202"/>
    </row>
    <row r="2" s="24" customFormat="1" ht="27" customHeight="1" spans="1:50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92"/>
      <c r="AG2" s="120" t="s">
        <v>5</v>
      </c>
      <c r="AH2" s="121"/>
      <c r="AI2" s="33"/>
      <c r="AJ2" s="122"/>
      <c r="AK2" s="123"/>
      <c r="AL2" s="305" t="s">
        <v>6</v>
      </c>
      <c r="AM2" s="306"/>
      <c r="AN2" s="306"/>
      <c r="AO2" s="306"/>
      <c r="AP2" s="306"/>
      <c r="AQ2" s="306"/>
      <c r="AR2" s="306"/>
      <c r="AS2" s="306"/>
      <c r="AT2" s="306"/>
      <c r="AU2" s="307" t="s">
        <v>7</v>
      </c>
      <c r="AV2" s="308" t="s">
        <v>8</v>
      </c>
      <c r="AW2" s="307" t="s">
        <v>9</v>
      </c>
      <c r="AX2" s="308" t="s">
        <v>10</v>
      </c>
    </row>
    <row r="3" s="25" customFormat="1" ht="27" customHeight="1" spans="1:50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3" t="s">
        <v>20</v>
      </c>
      <c r="AG3" s="134"/>
      <c r="AH3" s="133" t="s">
        <v>21</v>
      </c>
      <c r="AI3" s="134"/>
      <c r="AJ3" s="135" t="s">
        <v>22</v>
      </c>
      <c r="AK3" s="136"/>
      <c r="AL3" s="133" t="s">
        <v>23</v>
      </c>
      <c r="AM3" s="309"/>
      <c r="AN3" s="134"/>
      <c r="AO3" s="133" t="s">
        <v>24</v>
      </c>
      <c r="AP3" s="309"/>
      <c r="AQ3" s="134"/>
      <c r="AR3" s="135" t="s">
        <v>25</v>
      </c>
      <c r="AS3" s="136"/>
      <c r="AT3" s="136"/>
      <c r="AU3" s="176"/>
      <c r="AV3" s="268"/>
      <c r="AW3" s="176"/>
      <c r="AX3" s="268"/>
    </row>
    <row r="4" s="25" customFormat="1" ht="36" customHeight="1" spans="1:50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51"/>
      <c r="AG4" s="152"/>
      <c r="AH4" s="151"/>
      <c r="AI4" s="152"/>
      <c r="AJ4" s="149"/>
      <c r="AK4" s="153"/>
      <c r="AL4" s="151"/>
      <c r="AM4" s="310"/>
      <c r="AN4" s="152"/>
      <c r="AO4" s="151"/>
      <c r="AP4" s="310"/>
      <c r="AQ4" s="152"/>
      <c r="AR4" s="149"/>
      <c r="AS4" s="153"/>
      <c r="AT4" s="153"/>
      <c r="AU4" s="176"/>
      <c r="AV4" s="268"/>
      <c r="AW4" s="176"/>
      <c r="AX4" s="268"/>
    </row>
    <row r="5" s="25" customFormat="1" ht="22" customHeight="1" spans="1:50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8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48" t="s">
        <v>28</v>
      </c>
      <c r="AG5" s="49" t="s">
        <v>29</v>
      </c>
      <c r="AH5" s="41" t="s">
        <v>28</v>
      </c>
      <c r="AI5" s="140" t="s">
        <v>29</v>
      </c>
      <c r="AJ5" s="162" t="s">
        <v>28</v>
      </c>
      <c r="AK5" s="51" t="s">
        <v>29</v>
      </c>
      <c r="AL5" s="165">
        <v>2.8</v>
      </c>
      <c r="AM5" s="165">
        <v>3</v>
      </c>
      <c r="AN5" s="166">
        <v>3.5</v>
      </c>
      <c r="AO5" s="165">
        <v>2.8</v>
      </c>
      <c r="AP5" s="165">
        <v>3</v>
      </c>
      <c r="AQ5" s="166">
        <v>3.5</v>
      </c>
      <c r="AR5" s="165">
        <v>2.8</v>
      </c>
      <c r="AS5" s="165">
        <v>3</v>
      </c>
      <c r="AT5" s="311">
        <v>3.5</v>
      </c>
      <c r="AU5" s="176"/>
      <c r="AV5" s="268"/>
      <c r="AW5" s="176"/>
      <c r="AX5" s="268"/>
    </row>
    <row r="6" s="26" customFormat="1" ht="23" customHeight="1" spans="1:50">
      <c r="A6" s="52" t="s">
        <v>48</v>
      </c>
      <c r="B6" s="52">
        <v>264</v>
      </c>
      <c r="C6" s="53">
        <v>7347</v>
      </c>
      <c r="D6" s="53">
        <v>3132</v>
      </c>
      <c r="E6" s="53">
        <v>111530</v>
      </c>
      <c r="F6" s="53"/>
      <c r="G6" s="54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5"/>
      <c r="T6" s="53">
        <f t="shared" ref="T6:T17" si="0">C6+F6+H6+J6+M6+Q6+B6+L6+P6</f>
        <v>7611</v>
      </c>
      <c r="U6" s="53">
        <f t="shared" ref="U6:U17" si="1">E6+G6+I6+K6+O6+S6+D6+N6+R6</f>
        <v>114662</v>
      </c>
      <c r="V6" s="53">
        <f t="shared" ref="V6:V18" si="2">(D6+N6+R6)/(B6+L6+P6)</f>
        <v>11.8636363636364</v>
      </c>
      <c r="W6" s="56">
        <f t="shared" ref="W6:W18" si="3">(E6+O6+S6)/(C6+M6+Q6)</f>
        <v>15.1803457193412</v>
      </c>
      <c r="X6" s="172">
        <v>216</v>
      </c>
      <c r="Y6" s="53">
        <v>3618</v>
      </c>
      <c r="Z6" s="53">
        <v>3456</v>
      </c>
      <c r="AA6" s="53">
        <v>68143</v>
      </c>
      <c r="AB6" s="167">
        <f t="shared" ref="AB6:AB18" si="4">Z6/X6</f>
        <v>16</v>
      </c>
      <c r="AC6" s="57">
        <f t="shared" ref="AC6:AC18" si="5">AA6/Y6</f>
        <v>18.8344389165285</v>
      </c>
      <c r="AD6" s="168">
        <f t="shared" ref="AD6:AD18" si="6">(D6+N6+R6+Z6)/(B6+L6+P6+X6)</f>
        <v>13.725</v>
      </c>
      <c r="AE6" s="58">
        <f t="shared" ref="AE6:AE18" si="7">(E6+O6+S6+AA6)/(C6+M6+Q6+Y6)</f>
        <v>16.3860465116279</v>
      </c>
      <c r="AF6" s="56"/>
      <c r="AG6" s="53"/>
      <c r="AH6" s="53"/>
      <c r="AI6" s="53"/>
      <c r="AJ6" s="167" t="e">
        <f t="shared" ref="AJ6:AJ18" si="8">AH6/AF6</f>
        <v>#DIV/0!</v>
      </c>
      <c r="AK6" s="57" t="e">
        <f t="shared" ref="AK6:AK18" si="9">AI6/AG6</f>
        <v>#DIV/0!</v>
      </c>
      <c r="AL6" s="172"/>
      <c r="AM6" s="172"/>
      <c r="AN6" s="53"/>
      <c r="AO6" s="53"/>
      <c r="AP6" s="53"/>
      <c r="AQ6" s="53"/>
      <c r="AR6" s="168" t="e">
        <f t="shared" ref="AR6:AT6" si="10">AO6/AL6</f>
        <v>#DIV/0!</v>
      </c>
      <c r="AS6" s="168" t="e">
        <f t="shared" si="10"/>
        <v>#DIV/0!</v>
      </c>
      <c r="AT6" s="57" t="e">
        <f t="shared" si="10"/>
        <v>#DIV/0!</v>
      </c>
      <c r="AU6" s="177">
        <f t="shared" ref="AU6:AU18" si="11">T6+X6+Y6+AF6+AG6+AL6+AM6+AN6</f>
        <v>11445</v>
      </c>
      <c r="AV6" s="178">
        <f t="shared" ref="AV6:AV18" si="12">U6+Z6+AA6+AH6+AI6+AO6+AP6+AQ6</f>
        <v>186261</v>
      </c>
      <c r="AW6" s="312">
        <v>2115</v>
      </c>
      <c r="AX6" s="312">
        <v>34266</v>
      </c>
    </row>
    <row r="7" s="304" customFormat="1" ht="23" customHeight="1" spans="1:50">
      <c r="A7" s="313" t="s">
        <v>38</v>
      </c>
      <c r="B7" s="313">
        <v>2849</v>
      </c>
      <c r="C7" s="314">
        <v>29883</v>
      </c>
      <c r="D7" s="314">
        <v>36102</v>
      </c>
      <c r="E7" s="314">
        <f>393354-120</f>
        <v>393234</v>
      </c>
      <c r="F7" s="314"/>
      <c r="G7" s="315"/>
      <c r="H7" s="314"/>
      <c r="I7" s="314"/>
      <c r="J7" s="314">
        <v>8790</v>
      </c>
      <c r="K7" s="314">
        <v>168486</v>
      </c>
      <c r="L7" s="314">
        <v>16832</v>
      </c>
      <c r="M7" s="314">
        <v>14720</v>
      </c>
      <c r="N7" s="314">
        <v>282777.6</v>
      </c>
      <c r="O7" s="314">
        <f>356440+2800</f>
        <v>359240</v>
      </c>
      <c r="P7" s="314"/>
      <c r="Q7" s="314">
        <v>2100</v>
      </c>
      <c r="R7" s="314"/>
      <c r="S7" s="314">
        <v>51960</v>
      </c>
      <c r="T7" s="314">
        <f>B7+C7+F7+H7+J7+L7+M7+P7+Q7</f>
        <v>75174</v>
      </c>
      <c r="U7" s="314">
        <f>D7+E7+G7+I7+K7+N7+O7+R7+S7</f>
        <v>1291799.6</v>
      </c>
      <c r="V7" s="314">
        <v>16.1956483719973</v>
      </c>
      <c r="W7" s="316">
        <v>17.1283968368081</v>
      </c>
      <c r="X7" s="316">
        <v>958</v>
      </c>
      <c r="Y7" s="314">
        <v>10150</v>
      </c>
      <c r="Z7" s="314">
        <v>7552</v>
      </c>
      <c r="AA7" s="314">
        <v>140267</v>
      </c>
      <c r="AB7" s="317">
        <v>7.88308977035491</v>
      </c>
      <c r="AC7" s="318">
        <v>13.9865802869042</v>
      </c>
      <c r="AD7" s="319">
        <v>15.8052649639688</v>
      </c>
      <c r="AE7" s="320">
        <v>16.5577576063204</v>
      </c>
      <c r="AF7" s="316"/>
      <c r="AG7" s="314"/>
      <c r="AH7" s="314"/>
      <c r="AI7" s="314">
        <v>120</v>
      </c>
      <c r="AJ7" s="317" t="e">
        <v>#DIV/0!</v>
      </c>
      <c r="AK7" s="318" t="e">
        <v>#DIV/0!</v>
      </c>
      <c r="AL7" s="316"/>
      <c r="AM7" s="316">
        <v>7</v>
      </c>
      <c r="AN7" s="314">
        <v>181</v>
      </c>
      <c r="AO7" s="314"/>
      <c r="AP7" s="314">
        <v>245</v>
      </c>
      <c r="AQ7" s="314">
        <v>6346</v>
      </c>
      <c r="AR7" s="317" t="e">
        <v>#DIV/0!</v>
      </c>
      <c r="AS7" s="317">
        <v>35</v>
      </c>
      <c r="AT7" s="318">
        <v>35.060773480663</v>
      </c>
      <c r="AU7" s="321">
        <f t="shared" si="11"/>
        <v>86470</v>
      </c>
      <c r="AV7" s="322">
        <f t="shared" si="12"/>
        <v>1446329.6</v>
      </c>
      <c r="AW7" s="321">
        <v>6254</v>
      </c>
      <c r="AX7" s="322">
        <v>42480</v>
      </c>
    </row>
    <row r="8" s="26" customFormat="1" ht="23" customHeight="1" spans="1:50">
      <c r="A8" s="52" t="s">
        <v>39</v>
      </c>
      <c r="B8" s="52">
        <v>5669</v>
      </c>
      <c r="C8" s="53">
        <v>42106</v>
      </c>
      <c r="D8" s="53">
        <v>79641</v>
      </c>
      <c r="E8" s="53">
        <f>746469+250</f>
        <v>746719</v>
      </c>
      <c r="F8" s="53"/>
      <c r="G8" s="53"/>
      <c r="H8" s="53">
        <v>65048</v>
      </c>
      <c r="I8" s="53">
        <v>510396</v>
      </c>
      <c r="J8" s="53"/>
      <c r="K8" s="53"/>
      <c r="L8" s="53"/>
      <c r="M8" s="53"/>
      <c r="N8" s="53"/>
      <c r="O8" s="53"/>
      <c r="P8" s="53">
        <v>288</v>
      </c>
      <c r="Q8" s="53">
        <v>3324</v>
      </c>
      <c r="R8" s="53">
        <v>4608</v>
      </c>
      <c r="S8" s="55">
        <v>83145.5</v>
      </c>
      <c r="T8" s="53">
        <f t="shared" ref="T8:T10" si="13">C8+F8+H8+J8+M8+Q8+B8+L8+P8</f>
        <v>116435</v>
      </c>
      <c r="U8" s="53">
        <f t="shared" ref="U8:U10" si="14">E8+G8+I8+K8+O8+S8+D8+N8+R8</f>
        <v>1424509.5</v>
      </c>
      <c r="V8" s="53">
        <f t="shared" ref="V8:V10" si="15">(D8+N8+R8)/(B8+L8+P8)</f>
        <v>14.1428571428571</v>
      </c>
      <c r="W8" s="56">
        <f t="shared" ref="W8:W10" si="16">(E8+O8+S8)/(C8+M8+Q8)</f>
        <v>18.2668831168831</v>
      </c>
      <c r="X8" s="172">
        <v>1200</v>
      </c>
      <c r="Y8" s="53">
        <v>7262</v>
      </c>
      <c r="Z8" s="53">
        <v>15993</v>
      </c>
      <c r="AA8" s="53">
        <v>120786</v>
      </c>
      <c r="AB8" s="167">
        <f t="shared" ref="AB8:AB10" si="17">Z8/X8</f>
        <v>13.3275</v>
      </c>
      <c r="AC8" s="57">
        <f t="shared" ref="AC8:AC10" si="18">AA8/Y8</f>
        <v>16.632608096943</v>
      </c>
      <c r="AD8" s="168">
        <f t="shared" ref="AD8:AD10" si="19">(D8+N8+R8+Z8)/(B8+L8+P8+X8)</f>
        <v>14.0061478273019</v>
      </c>
      <c r="AE8" s="58">
        <f t="shared" ref="AE8:AE10" si="20">(E8+O8+S8+AA8)/(C8+M8+Q8+Y8)</f>
        <v>18.0416476884537</v>
      </c>
      <c r="AF8" s="56"/>
      <c r="AG8" s="53"/>
      <c r="AH8" s="53"/>
      <c r="AI8" s="53"/>
      <c r="AJ8" s="167" t="e">
        <f t="shared" ref="AJ8:AJ10" si="21">AH8/AF8</f>
        <v>#DIV/0!</v>
      </c>
      <c r="AK8" s="57" t="e">
        <f t="shared" ref="AK8:AK10" si="22">AI8/AG8</f>
        <v>#DIV/0!</v>
      </c>
      <c r="AL8" s="56"/>
      <c r="AM8" s="56"/>
      <c r="AN8" s="53"/>
      <c r="AO8" s="53"/>
      <c r="AP8" s="53"/>
      <c r="AQ8" s="53"/>
      <c r="AR8" s="167" t="e">
        <f t="shared" ref="AR8:AT8" si="23">AO8/AL8</f>
        <v>#DIV/0!</v>
      </c>
      <c r="AS8" s="167" t="e">
        <f t="shared" si="23"/>
        <v>#DIV/0!</v>
      </c>
      <c r="AT8" s="57" t="e">
        <f t="shared" si="23"/>
        <v>#DIV/0!</v>
      </c>
      <c r="AU8" s="177">
        <f t="shared" si="11"/>
        <v>124897</v>
      </c>
      <c r="AV8" s="178">
        <f t="shared" si="12"/>
        <v>1561288.5</v>
      </c>
      <c r="AW8" s="177">
        <v>988</v>
      </c>
      <c r="AX8" s="178">
        <v>6765</v>
      </c>
    </row>
    <row r="9" s="26" customFormat="1" ht="23" customHeight="1" spans="1:50">
      <c r="A9" s="52" t="s">
        <v>40</v>
      </c>
      <c r="B9" s="52">
        <v>6966</v>
      </c>
      <c r="C9" s="53">
        <f>27477-72</f>
        <v>27405</v>
      </c>
      <c r="D9" s="53">
        <v>84796</v>
      </c>
      <c r="E9" s="53">
        <f>451403-1008-900</f>
        <v>449495</v>
      </c>
      <c r="F9" s="53"/>
      <c r="G9" s="54"/>
      <c r="H9" s="53"/>
      <c r="I9" s="53"/>
      <c r="J9" s="53"/>
      <c r="K9" s="53"/>
      <c r="L9" s="53"/>
      <c r="M9" s="53"/>
      <c r="N9" s="53"/>
      <c r="O9" s="53"/>
      <c r="P9" s="53">
        <v>2260</v>
      </c>
      <c r="Q9" s="53">
        <v>4236</v>
      </c>
      <c r="R9" s="53">
        <v>40528</v>
      </c>
      <c r="S9" s="55">
        <v>95494</v>
      </c>
      <c r="T9" s="53">
        <f t="shared" si="13"/>
        <v>40867</v>
      </c>
      <c r="U9" s="53">
        <f t="shared" si="14"/>
        <v>670313</v>
      </c>
      <c r="V9" s="56">
        <f t="shared" si="15"/>
        <v>13.5837849555604</v>
      </c>
      <c r="W9" s="56">
        <f t="shared" si="16"/>
        <v>17.2241395657533</v>
      </c>
      <c r="X9" s="172">
        <v>1810</v>
      </c>
      <c r="Y9" s="53">
        <v>6320</v>
      </c>
      <c r="Z9" s="53">
        <v>22671</v>
      </c>
      <c r="AA9" s="53">
        <v>104183</v>
      </c>
      <c r="AB9" s="168">
        <f t="shared" si="17"/>
        <v>12.5254143646409</v>
      </c>
      <c r="AC9" s="57">
        <f t="shared" si="18"/>
        <v>16.4846518987342</v>
      </c>
      <c r="AD9" s="168">
        <f t="shared" si="19"/>
        <v>13.4102029720913</v>
      </c>
      <c r="AE9" s="58">
        <f t="shared" si="20"/>
        <v>17.1010247359132</v>
      </c>
      <c r="AF9" s="172"/>
      <c r="AG9" s="53"/>
      <c r="AH9" s="53"/>
      <c r="AI9" s="53"/>
      <c r="AJ9" s="168" t="e">
        <f t="shared" si="21"/>
        <v>#DIV/0!</v>
      </c>
      <c r="AK9" s="57" t="e">
        <f t="shared" si="22"/>
        <v>#DIV/0!</v>
      </c>
      <c r="AL9" s="172"/>
      <c r="AM9" s="172"/>
      <c r="AN9" s="53"/>
      <c r="AO9" s="53"/>
      <c r="AP9" s="53"/>
      <c r="AQ9" s="53"/>
      <c r="AR9" s="167" t="e">
        <f t="shared" ref="AR9:AT9" si="24">AO9/AL9</f>
        <v>#DIV/0!</v>
      </c>
      <c r="AS9" s="167" t="e">
        <f t="shared" si="24"/>
        <v>#DIV/0!</v>
      </c>
      <c r="AT9" s="57" t="e">
        <f t="shared" si="24"/>
        <v>#DIV/0!</v>
      </c>
      <c r="AU9" s="177">
        <f t="shared" si="11"/>
        <v>48997</v>
      </c>
      <c r="AV9" s="178">
        <f t="shared" si="12"/>
        <v>797167</v>
      </c>
      <c r="AW9" s="177">
        <v>10303</v>
      </c>
      <c r="AX9" s="178">
        <v>67555</v>
      </c>
    </row>
    <row r="10" s="26" customFormat="1" ht="23" customHeight="1" spans="1:50">
      <c r="A10" s="52" t="s">
        <v>42</v>
      </c>
      <c r="B10" s="52">
        <v>2206</v>
      </c>
      <c r="C10" s="53">
        <v>17812</v>
      </c>
      <c r="D10" s="53">
        <v>30053</v>
      </c>
      <c r="E10" s="53">
        <v>314316</v>
      </c>
      <c r="F10" s="53"/>
      <c r="G10" s="55"/>
      <c r="H10" s="53"/>
      <c r="I10" s="53"/>
      <c r="J10" s="53"/>
      <c r="K10" s="53"/>
      <c r="L10" s="53"/>
      <c r="M10" s="53"/>
      <c r="N10" s="53"/>
      <c r="O10" s="53"/>
      <c r="P10" s="53">
        <v>1940</v>
      </c>
      <c r="Q10" s="53">
        <v>4100</v>
      </c>
      <c r="R10" s="53">
        <v>32456</v>
      </c>
      <c r="S10" s="55">
        <v>102424</v>
      </c>
      <c r="T10" s="53">
        <v>26058</v>
      </c>
      <c r="U10" s="53">
        <v>479249</v>
      </c>
      <c r="V10" s="53">
        <v>15.0769416304872</v>
      </c>
      <c r="W10" s="56">
        <v>19.0188024826579</v>
      </c>
      <c r="X10" s="172">
        <v>613</v>
      </c>
      <c r="Y10" s="53">
        <v>3720</v>
      </c>
      <c r="Z10" s="53">
        <v>9203</v>
      </c>
      <c r="AA10" s="53">
        <v>60496</v>
      </c>
      <c r="AB10" s="167">
        <v>15.0130505709625</v>
      </c>
      <c r="AC10" s="57">
        <v>16.2623655913978</v>
      </c>
      <c r="AD10" s="168">
        <v>15.0687119142677</v>
      </c>
      <c r="AE10" s="58">
        <v>18.6187578027466</v>
      </c>
      <c r="AF10" s="172"/>
      <c r="AG10" s="53"/>
      <c r="AH10" s="53"/>
      <c r="AI10" s="53"/>
      <c r="AJ10" s="167" t="e">
        <v>#DIV/0!</v>
      </c>
      <c r="AK10" s="57" t="e">
        <v>#DIV/0!</v>
      </c>
      <c r="AL10" s="172"/>
      <c r="AM10" s="172"/>
      <c r="AN10" s="53"/>
      <c r="AO10" s="53"/>
      <c r="AP10" s="53"/>
      <c r="AQ10" s="53"/>
      <c r="AR10" s="167" t="e">
        <v>#DIV/0!</v>
      </c>
      <c r="AS10" s="167" t="e">
        <v>#DIV/0!</v>
      </c>
      <c r="AT10" s="57" t="e">
        <v>#DIV/0!</v>
      </c>
      <c r="AU10" s="177">
        <v>30391</v>
      </c>
      <c r="AV10" s="178">
        <v>548948</v>
      </c>
      <c r="AW10" s="177">
        <v>1940</v>
      </c>
      <c r="AX10" s="178">
        <v>9490</v>
      </c>
    </row>
    <row r="11" s="26" customFormat="1" ht="23" customHeight="1" spans="1:50">
      <c r="A11" s="52"/>
      <c r="B11" s="52"/>
      <c r="C11" s="53"/>
      <c r="D11" s="53"/>
      <c r="E11" s="53"/>
      <c r="F11" s="53"/>
      <c r="G11" s="5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53">
        <f t="shared" si="0"/>
        <v>0</v>
      </c>
      <c r="U11" s="53">
        <f t="shared" si="1"/>
        <v>0</v>
      </c>
      <c r="V11" s="53" t="e">
        <f t="shared" si="2"/>
        <v>#DIV/0!</v>
      </c>
      <c r="W11" s="56" t="e">
        <f t="shared" si="3"/>
        <v>#DIV/0!</v>
      </c>
      <c r="X11" s="172"/>
      <c r="Y11" s="53"/>
      <c r="Z11" s="53"/>
      <c r="AA11" s="53"/>
      <c r="AB11" s="167" t="e">
        <f t="shared" si="4"/>
        <v>#DIV/0!</v>
      </c>
      <c r="AC11" s="57" t="e">
        <f t="shared" si="5"/>
        <v>#DIV/0!</v>
      </c>
      <c r="AD11" s="168" t="e">
        <f t="shared" si="6"/>
        <v>#DIV/0!</v>
      </c>
      <c r="AE11" s="58" t="e">
        <f t="shared" si="7"/>
        <v>#DIV/0!</v>
      </c>
      <c r="AF11" s="172"/>
      <c r="AG11" s="53"/>
      <c r="AH11" s="53"/>
      <c r="AI11" s="53"/>
      <c r="AJ11" s="167" t="e">
        <f t="shared" si="8"/>
        <v>#DIV/0!</v>
      </c>
      <c r="AK11" s="57" t="e">
        <f t="shared" si="9"/>
        <v>#DIV/0!</v>
      </c>
      <c r="AL11" s="172"/>
      <c r="AM11" s="172"/>
      <c r="AN11" s="53"/>
      <c r="AO11" s="53"/>
      <c r="AP11" s="53"/>
      <c r="AQ11" s="53"/>
      <c r="AR11" s="167" t="e">
        <f t="shared" ref="AR11:AT11" si="25">AO11/AL11</f>
        <v>#DIV/0!</v>
      </c>
      <c r="AS11" s="167" t="e">
        <f t="shared" si="25"/>
        <v>#DIV/0!</v>
      </c>
      <c r="AT11" s="57" t="e">
        <f t="shared" si="25"/>
        <v>#DIV/0!</v>
      </c>
      <c r="AU11" s="177">
        <f t="shared" si="11"/>
        <v>0</v>
      </c>
      <c r="AV11" s="178">
        <f t="shared" si="12"/>
        <v>0</v>
      </c>
      <c r="AW11" s="177"/>
      <c r="AX11" s="178"/>
    </row>
    <row r="12" s="26" customFormat="1" ht="23" customHeight="1" spans="1:50">
      <c r="A12" s="52"/>
      <c r="B12" s="52"/>
      <c r="C12" s="53"/>
      <c r="D12" s="53"/>
      <c r="E12" s="53"/>
      <c r="F12" s="53"/>
      <c r="G12" s="54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5"/>
      <c r="T12" s="53">
        <f t="shared" si="0"/>
        <v>0</v>
      </c>
      <c r="U12" s="53">
        <f t="shared" si="1"/>
        <v>0</v>
      </c>
      <c r="V12" s="53" t="e">
        <f t="shared" si="2"/>
        <v>#DIV/0!</v>
      </c>
      <c r="W12" s="56" t="e">
        <f t="shared" si="3"/>
        <v>#DIV/0!</v>
      </c>
      <c r="X12" s="172"/>
      <c r="Y12" s="53"/>
      <c r="Z12" s="53"/>
      <c r="AA12" s="53"/>
      <c r="AB12" s="167" t="e">
        <f t="shared" si="4"/>
        <v>#DIV/0!</v>
      </c>
      <c r="AC12" s="57" t="e">
        <f t="shared" si="5"/>
        <v>#DIV/0!</v>
      </c>
      <c r="AD12" s="168" t="e">
        <f t="shared" si="6"/>
        <v>#DIV/0!</v>
      </c>
      <c r="AE12" s="58" t="e">
        <f t="shared" si="7"/>
        <v>#DIV/0!</v>
      </c>
      <c r="AF12" s="172"/>
      <c r="AG12" s="53"/>
      <c r="AH12" s="53"/>
      <c r="AI12" s="53"/>
      <c r="AJ12" s="167" t="e">
        <f t="shared" si="8"/>
        <v>#DIV/0!</v>
      </c>
      <c r="AK12" s="57" t="e">
        <f t="shared" si="9"/>
        <v>#DIV/0!</v>
      </c>
      <c r="AL12" s="172"/>
      <c r="AM12" s="172"/>
      <c r="AN12" s="53"/>
      <c r="AO12" s="53"/>
      <c r="AP12" s="53"/>
      <c r="AQ12" s="53"/>
      <c r="AR12" s="167" t="e">
        <f t="shared" ref="AR12:AT12" si="26">AO12/AL12</f>
        <v>#DIV/0!</v>
      </c>
      <c r="AS12" s="167" t="e">
        <f t="shared" si="26"/>
        <v>#DIV/0!</v>
      </c>
      <c r="AT12" s="57" t="e">
        <f t="shared" si="26"/>
        <v>#DIV/0!</v>
      </c>
      <c r="AU12" s="177">
        <f t="shared" si="11"/>
        <v>0</v>
      </c>
      <c r="AV12" s="178">
        <f t="shared" si="12"/>
        <v>0</v>
      </c>
      <c r="AW12" s="177"/>
      <c r="AX12" s="178"/>
    </row>
    <row r="13" s="26" customFormat="1" ht="23" customHeight="1" spans="1:50">
      <c r="A13" s="52"/>
      <c r="B13" s="52"/>
      <c r="C13" s="53"/>
      <c r="D13" s="53"/>
      <c r="E13" s="53"/>
      <c r="F13" s="53"/>
      <c r="G13" s="54"/>
      <c r="H13" s="53"/>
      <c r="I13" s="53"/>
      <c r="J13" s="53"/>
      <c r="K13" s="53"/>
      <c r="L13" s="53"/>
      <c r="M13" s="53"/>
      <c r="N13" s="53"/>
      <c r="O13" s="172"/>
      <c r="P13" s="172"/>
      <c r="Q13" s="53"/>
      <c r="R13" s="53"/>
      <c r="S13" s="55"/>
      <c r="T13" s="53">
        <f t="shared" si="0"/>
        <v>0</v>
      </c>
      <c r="U13" s="53">
        <f t="shared" si="1"/>
        <v>0</v>
      </c>
      <c r="V13" s="56" t="e">
        <f t="shared" si="2"/>
        <v>#DIV/0!</v>
      </c>
      <c r="W13" s="56" t="e">
        <f t="shared" si="3"/>
        <v>#DIV/0!</v>
      </c>
      <c r="X13" s="172"/>
      <c r="Y13" s="53"/>
      <c r="Z13" s="53"/>
      <c r="AA13" s="53"/>
      <c r="AB13" s="167" t="e">
        <f t="shared" si="4"/>
        <v>#DIV/0!</v>
      </c>
      <c r="AC13" s="57" t="e">
        <f t="shared" si="5"/>
        <v>#DIV/0!</v>
      </c>
      <c r="AD13" s="168" t="e">
        <f t="shared" si="6"/>
        <v>#DIV/0!</v>
      </c>
      <c r="AE13" s="58" t="e">
        <f t="shared" si="7"/>
        <v>#DIV/0!</v>
      </c>
      <c r="AF13" s="172"/>
      <c r="AG13" s="53"/>
      <c r="AH13" s="53"/>
      <c r="AI13" s="53"/>
      <c r="AJ13" s="167" t="e">
        <f t="shared" si="8"/>
        <v>#DIV/0!</v>
      </c>
      <c r="AK13" s="57" t="e">
        <f t="shared" si="9"/>
        <v>#DIV/0!</v>
      </c>
      <c r="AL13" s="172"/>
      <c r="AM13" s="172"/>
      <c r="AN13" s="53"/>
      <c r="AO13" s="53"/>
      <c r="AP13" s="53"/>
      <c r="AQ13" s="53"/>
      <c r="AR13" s="167" t="e">
        <f t="shared" ref="AR13:AT13" si="27">AO13/AL13</f>
        <v>#DIV/0!</v>
      </c>
      <c r="AS13" s="167" t="e">
        <f t="shared" si="27"/>
        <v>#DIV/0!</v>
      </c>
      <c r="AT13" s="57" t="e">
        <f t="shared" si="27"/>
        <v>#DIV/0!</v>
      </c>
      <c r="AU13" s="177">
        <f t="shared" si="11"/>
        <v>0</v>
      </c>
      <c r="AV13" s="178">
        <f t="shared" si="12"/>
        <v>0</v>
      </c>
      <c r="AW13" s="177"/>
      <c r="AX13" s="178"/>
    </row>
    <row r="14" s="26" customFormat="1" ht="23" customHeight="1" spans="1:50">
      <c r="A14" s="52"/>
      <c r="B14" s="52"/>
      <c r="C14" s="53"/>
      <c r="D14" s="53"/>
      <c r="E14" s="53"/>
      <c r="F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5"/>
      <c r="T14" s="53">
        <f t="shared" si="0"/>
        <v>0</v>
      </c>
      <c r="U14" s="53">
        <f t="shared" si="1"/>
        <v>0</v>
      </c>
      <c r="V14" s="53" t="e">
        <f t="shared" si="2"/>
        <v>#DIV/0!</v>
      </c>
      <c r="W14" s="56" t="e">
        <f t="shared" si="3"/>
        <v>#DIV/0!</v>
      </c>
      <c r="X14" s="172"/>
      <c r="Y14" s="53"/>
      <c r="Z14" s="53"/>
      <c r="AA14" s="53"/>
      <c r="AB14" s="167" t="e">
        <f t="shared" si="4"/>
        <v>#DIV/0!</v>
      </c>
      <c r="AC14" s="57" t="e">
        <f t="shared" si="5"/>
        <v>#DIV/0!</v>
      </c>
      <c r="AD14" s="168" t="e">
        <f t="shared" si="6"/>
        <v>#DIV/0!</v>
      </c>
      <c r="AE14" s="58" t="e">
        <f t="shared" si="7"/>
        <v>#DIV/0!</v>
      </c>
      <c r="AF14" s="172"/>
      <c r="AG14" s="53"/>
      <c r="AH14" s="53"/>
      <c r="AI14" s="53"/>
      <c r="AJ14" s="167" t="e">
        <f t="shared" si="8"/>
        <v>#DIV/0!</v>
      </c>
      <c r="AK14" s="57" t="e">
        <f t="shared" si="9"/>
        <v>#DIV/0!</v>
      </c>
      <c r="AL14" s="172"/>
      <c r="AM14" s="172"/>
      <c r="AN14" s="53"/>
      <c r="AO14" s="53"/>
      <c r="AP14" s="53"/>
      <c r="AQ14" s="53"/>
      <c r="AR14" s="167" t="e">
        <f t="shared" ref="AR14:AT14" si="28">AO14/AL14</f>
        <v>#DIV/0!</v>
      </c>
      <c r="AS14" s="167" t="e">
        <f t="shared" si="28"/>
        <v>#DIV/0!</v>
      </c>
      <c r="AT14" s="57" t="e">
        <f t="shared" si="28"/>
        <v>#DIV/0!</v>
      </c>
      <c r="AU14" s="177">
        <f t="shared" si="11"/>
        <v>0</v>
      </c>
      <c r="AV14" s="178">
        <f t="shared" si="12"/>
        <v>0</v>
      </c>
      <c r="AW14" s="177"/>
      <c r="AX14" s="178"/>
    </row>
    <row r="15" s="26" customFormat="1" ht="23" customHeight="1" spans="1:50">
      <c r="A15" s="52"/>
      <c r="B15" s="52"/>
      <c r="C15" s="53"/>
      <c r="D15" s="53"/>
      <c r="E15" s="53"/>
      <c r="F15" s="53"/>
      <c r="G15" s="54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4"/>
      <c r="T15" s="53">
        <f t="shared" si="0"/>
        <v>0</v>
      </c>
      <c r="U15" s="53">
        <f t="shared" si="1"/>
        <v>0</v>
      </c>
      <c r="V15" s="53" t="e">
        <f t="shared" si="2"/>
        <v>#DIV/0!</v>
      </c>
      <c r="W15" s="56" t="e">
        <f t="shared" si="3"/>
        <v>#DIV/0!</v>
      </c>
      <c r="X15" s="172"/>
      <c r="Y15" s="53"/>
      <c r="Z15" s="53"/>
      <c r="AA15" s="53"/>
      <c r="AB15" s="167" t="e">
        <f t="shared" si="4"/>
        <v>#DIV/0!</v>
      </c>
      <c r="AC15" s="57" t="e">
        <f t="shared" si="5"/>
        <v>#DIV/0!</v>
      </c>
      <c r="AD15" s="168" t="e">
        <f t="shared" si="6"/>
        <v>#DIV/0!</v>
      </c>
      <c r="AE15" s="58" t="e">
        <f t="shared" si="7"/>
        <v>#DIV/0!</v>
      </c>
      <c r="AF15" s="169"/>
      <c r="AG15" s="53"/>
      <c r="AH15" s="53"/>
      <c r="AI15" s="53"/>
      <c r="AJ15" s="53" t="e">
        <f t="shared" si="8"/>
        <v>#DIV/0!</v>
      </c>
      <c r="AK15" s="56" t="e">
        <f t="shared" si="9"/>
        <v>#DIV/0!</v>
      </c>
      <c r="AL15" s="169"/>
      <c r="AM15" s="323"/>
      <c r="AN15" s="53"/>
      <c r="AO15" s="53"/>
      <c r="AP15" s="53"/>
      <c r="AQ15" s="53"/>
      <c r="AR15" s="167" t="e">
        <f t="shared" ref="AR15:AT15" si="29">AO15/AL15</f>
        <v>#DIV/0!</v>
      </c>
      <c r="AS15" s="167" t="e">
        <f t="shared" si="29"/>
        <v>#DIV/0!</v>
      </c>
      <c r="AT15" s="57" t="e">
        <f t="shared" si="29"/>
        <v>#DIV/0!</v>
      </c>
      <c r="AU15" s="177">
        <f t="shared" si="11"/>
        <v>0</v>
      </c>
      <c r="AV15" s="178">
        <f t="shared" si="12"/>
        <v>0</v>
      </c>
      <c r="AW15" s="177"/>
      <c r="AX15" s="178"/>
    </row>
    <row r="16" s="26" customFormat="1" ht="23" customHeight="1" spans="1:50">
      <c r="A16" s="52"/>
      <c r="B16" s="52"/>
      <c r="C16" s="53"/>
      <c r="D16" s="53"/>
      <c r="E16" s="53"/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172"/>
      <c r="T16" s="53">
        <f t="shared" si="0"/>
        <v>0</v>
      </c>
      <c r="U16" s="53">
        <f t="shared" si="1"/>
        <v>0</v>
      </c>
      <c r="V16" s="53" t="e">
        <f t="shared" si="2"/>
        <v>#DIV/0!</v>
      </c>
      <c r="W16" s="56" t="e">
        <f t="shared" si="3"/>
        <v>#DIV/0!</v>
      </c>
      <c r="X16" s="176"/>
      <c r="Y16" s="53"/>
      <c r="Z16" s="53"/>
      <c r="AA16" s="53"/>
      <c r="AB16" s="167" t="e">
        <f t="shared" si="4"/>
        <v>#DIV/0!</v>
      </c>
      <c r="AC16" s="57" t="e">
        <f t="shared" si="5"/>
        <v>#DIV/0!</v>
      </c>
      <c r="AD16" s="168" t="e">
        <f t="shared" si="6"/>
        <v>#DIV/0!</v>
      </c>
      <c r="AE16" s="58" t="e">
        <f t="shared" si="7"/>
        <v>#DIV/0!</v>
      </c>
      <c r="AF16" s="169"/>
      <c r="AG16" s="53"/>
      <c r="AH16" s="53"/>
      <c r="AI16" s="53"/>
      <c r="AJ16" s="53" t="e">
        <f t="shared" si="8"/>
        <v>#DIV/0!</v>
      </c>
      <c r="AK16" s="53" t="e">
        <f t="shared" si="9"/>
        <v>#DIV/0!</v>
      </c>
      <c r="AL16" s="169"/>
      <c r="AM16" s="323"/>
      <c r="AN16" s="53"/>
      <c r="AO16" s="53"/>
      <c r="AP16" s="53"/>
      <c r="AQ16" s="53"/>
      <c r="AR16" s="167" t="e">
        <f t="shared" ref="AR16:AT16" si="30">AO16/AL16</f>
        <v>#DIV/0!</v>
      </c>
      <c r="AS16" s="167" t="e">
        <f t="shared" si="30"/>
        <v>#DIV/0!</v>
      </c>
      <c r="AT16" s="170" t="e">
        <f t="shared" si="30"/>
        <v>#DIV/0!</v>
      </c>
      <c r="AU16" s="177">
        <f t="shared" si="11"/>
        <v>0</v>
      </c>
      <c r="AV16" s="178">
        <f t="shared" si="12"/>
        <v>0</v>
      </c>
      <c r="AW16" s="177"/>
      <c r="AX16" s="178"/>
    </row>
    <row r="17" s="26" customFormat="1" ht="23" customHeight="1" spans="1:50">
      <c r="A17" s="52"/>
      <c r="B17" s="52"/>
      <c r="C17" s="53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5"/>
      <c r="T17" s="53">
        <f t="shared" si="0"/>
        <v>0</v>
      </c>
      <c r="U17" s="53">
        <f t="shared" si="1"/>
        <v>0</v>
      </c>
      <c r="V17" s="53" t="e">
        <f t="shared" si="2"/>
        <v>#DIV/0!</v>
      </c>
      <c r="W17" s="56" t="e">
        <f t="shared" si="3"/>
        <v>#DIV/0!</v>
      </c>
      <c r="X17" s="172"/>
      <c r="Y17" s="53"/>
      <c r="Z17" s="53"/>
      <c r="AA17" s="53"/>
      <c r="AB17" s="167" t="e">
        <f t="shared" si="4"/>
        <v>#DIV/0!</v>
      </c>
      <c r="AC17" s="57" t="e">
        <f t="shared" si="5"/>
        <v>#DIV/0!</v>
      </c>
      <c r="AD17" s="168" t="e">
        <f t="shared" si="6"/>
        <v>#DIV/0!</v>
      </c>
      <c r="AE17" s="58" t="e">
        <f t="shared" si="7"/>
        <v>#DIV/0!</v>
      </c>
      <c r="AF17" s="169"/>
      <c r="AG17" s="53"/>
      <c r="AH17" s="53"/>
      <c r="AI17" s="53"/>
      <c r="AJ17" s="53" t="e">
        <f t="shared" si="8"/>
        <v>#DIV/0!</v>
      </c>
      <c r="AK17" s="53" t="e">
        <f t="shared" si="9"/>
        <v>#DIV/0!</v>
      </c>
      <c r="AL17" s="169"/>
      <c r="AM17" s="323"/>
      <c r="AN17" s="53"/>
      <c r="AO17" s="53"/>
      <c r="AP17" s="53"/>
      <c r="AQ17" s="53"/>
      <c r="AR17" s="167" t="e">
        <f t="shared" ref="AR17:AT17" si="31">AO17/AL17</f>
        <v>#DIV/0!</v>
      </c>
      <c r="AS17" s="167" t="e">
        <f t="shared" si="31"/>
        <v>#DIV/0!</v>
      </c>
      <c r="AT17" s="170" t="e">
        <f t="shared" si="31"/>
        <v>#DIV/0!</v>
      </c>
      <c r="AU17" s="177">
        <f t="shared" si="11"/>
        <v>0</v>
      </c>
      <c r="AV17" s="178">
        <f t="shared" si="12"/>
        <v>0</v>
      </c>
      <c r="AW17" s="177"/>
      <c r="AX17" s="178"/>
    </row>
    <row r="18" s="26" customFormat="1" ht="29" customHeight="1" spans="1:50">
      <c r="A18" s="59" t="s">
        <v>43</v>
      </c>
      <c r="B18" s="59">
        <f t="shared" ref="B18:U18" si="32">SUM(B6:B17)</f>
        <v>17954</v>
      </c>
      <c r="C18" s="59">
        <f t="shared" si="32"/>
        <v>124553</v>
      </c>
      <c r="D18" s="59">
        <f t="shared" si="32"/>
        <v>233724</v>
      </c>
      <c r="E18" s="59">
        <f t="shared" si="32"/>
        <v>2015294</v>
      </c>
      <c r="F18" s="59">
        <f t="shared" si="32"/>
        <v>0</v>
      </c>
      <c r="G18" s="59">
        <f t="shared" si="32"/>
        <v>0</v>
      </c>
      <c r="H18" s="59">
        <f t="shared" si="32"/>
        <v>65048</v>
      </c>
      <c r="I18" s="59">
        <f t="shared" si="32"/>
        <v>510396</v>
      </c>
      <c r="J18" s="59">
        <f t="shared" si="32"/>
        <v>8790</v>
      </c>
      <c r="K18" s="59">
        <f t="shared" si="32"/>
        <v>168486</v>
      </c>
      <c r="L18" s="59">
        <f t="shared" si="32"/>
        <v>16832</v>
      </c>
      <c r="M18" s="59">
        <f t="shared" si="32"/>
        <v>14720</v>
      </c>
      <c r="N18" s="59">
        <f t="shared" si="32"/>
        <v>282777.6</v>
      </c>
      <c r="O18" s="59">
        <f t="shared" si="32"/>
        <v>359240</v>
      </c>
      <c r="P18" s="59">
        <f t="shared" si="32"/>
        <v>4488</v>
      </c>
      <c r="Q18" s="59">
        <f t="shared" si="32"/>
        <v>13760</v>
      </c>
      <c r="R18" s="59">
        <f t="shared" si="32"/>
        <v>77592</v>
      </c>
      <c r="S18" s="59">
        <f t="shared" si="32"/>
        <v>333023.5</v>
      </c>
      <c r="T18" s="60">
        <f t="shared" si="32"/>
        <v>266145</v>
      </c>
      <c r="U18" s="60">
        <f t="shared" si="32"/>
        <v>3980533.1</v>
      </c>
      <c r="V18" s="62">
        <f t="shared" si="2"/>
        <v>15.1268931099455</v>
      </c>
      <c r="W18" s="62">
        <f t="shared" si="3"/>
        <v>17.6926381891487</v>
      </c>
      <c r="X18" s="62">
        <f t="shared" ref="X18:AA18" si="33">SUM(X6:X17)</f>
        <v>4797</v>
      </c>
      <c r="Y18" s="60">
        <f t="shared" si="33"/>
        <v>31070</v>
      </c>
      <c r="Z18" s="60">
        <f t="shared" si="33"/>
        <v>58875</v>
      </c>
      <c r="AA18" s="60">
        <f t="shared" si="33"/>
        <v>493875</v>
      </c>
      <c r="AB18" s="184">
        <f t="shared" si="4"/>
        <v>12.2732958098812</v>
      </c>
      <c r="AC18" s="63">
        <f t="shared" si="5"/>
        <v>15.8955584164789</v>
      </c>
      <c r="AD18" s="184">
        <f t="shared" si="6"/>
        <v>14.8162873544962</v>
      </c>
      <c r="AE18" s="64">
        <f t="shared" si="7"/>
        <v>17.3893554151752</v>
      </c>
      <c r="AF18" s="62">
        <f t="shared" ref="AF18:AI18" si="34">SUM(AF6:AF17)</f>
        <v>0</v>
      </c>
      <c r="AG18" s="60">
        <f t="shared" si="34"/>
        <v>0</v>
      </c>
      <c r="AH18" s="60">
        <f t="shared" si="34"/>
        <v>0</v>
      </c>
      <c r="AI18" s="60">
        <f t="shared" si="34"/>
        <v>120</v>
      </c>
      <c r="AJ18" s="184" t="e">
        <f t="shared" si="8"/>
        <v>#DIV/0!</v>
      </c>
      <c r="AK18" s="63" t="e">
        <f t="shared" si="9"/>
        <v>#DIV/0!</v>
      </c>
      <c r="AL18" s="62">
        <f t="shared" ref="AL18:AT18" si="35">SUM(AL6:AL17)</f>
        <v>0</v>
      </c>
      <c r="AM18" s="62">
        <f t="shared" si="35"/>
        <v>7</v>
      </c>
      <c r="AN18" s="62">
        <f t="shared" si="35"/>
        <v>181</v>
      </c>
      <c r="AO18" s="62">
        <f t="shared" si="35"/>
        <v>0</v>
      </c>
      <c r="AP18" s="62">
        <f t="shared" si="35"/>
        <v>245</v>
      </c>
      <c r="AQ18" s="62">
        <f t="shared" si="35"/>
        <v>6346</v>
      </c>
      <c r="AR18" s="62" t="e">
        <f t="shared" si="35"/>
        <v>#DIV/0!</v>
      </c>
      <c r="AS18" s="62" t="e">
        <f t="shared" si="35"/>
        <v>#DIV/0!</v>
      </c>
      <c r="AT18" s="63" t="e">
        <f t="shared" si="35"/>
        <v>#DIV/0!</v>
      </c>
      <c r="AU18" s="244">
        <f t="shared" si="11"/>
        <v>302200</v>
      </c>
      <c r="AV18" s="178">
        <f t="shared" si="12"/>
        <v>4539994.1</v>
      </c>
      <c r="AW18" s="244">
        <f>SUM(AW6:AW17)</f>
        <v>21600</v>
      </c>
      <c r="AX18" s="244">
        <f>SUM(AX6:AX17)</f>
        <v>160556</v>
      </c>
    </row>
    <row r="19" customFormat="1" spans="1:5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28"/>
      <c r="Y19" s="27"/>
      <c r="Z19" s="27"/>
      <c r="AA19" s="27"/>
      <c r="AB19" s="27"/>
      <c r="AC19" s="28"/>
      <c r="AD19" s="28"/>
      <c r="AE19" s="28"/>
      <c r="AF19" s="28"/>
      <c r="AG19" s="27"/>
      <c r="AH19" s="27"/>
      <c r="AI19" s="27"/>
      <c r="AJ19" s="27"/>
      <c r="AK19" s="28"/>
      <c r="AL19" s="28"/>
      <c r="AM19" s="28"/>
      <c r="AN19" s="27"/>
      <c r="AO19" s="27"/>
      <c r="AP19" s="27"/>
      <c r="AQ19" s="27"/>
      <c r="AR19" s="27"/>
      <c r="AS19" s="27"/>
      <c r="AT19" s="28"/>
      <c r="AU19" s="202"/>
      <c r="AV19" s="324"/>
    </row>
  </sheetData>
  <mergeCells count="40">
    <mergeCell ref="A1:AC1"/>
    <mergeCell ref="C2:W2"/>
    <mergeCell ref="Y2:AC2"/>
    <mergeCell ref="AG2:AK2"/>
    <mergeCell ref="AL2:AT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AU2:AU5"/>
    <mergeCell ref="AV2:AV5"/>
    <mergeCell ref="AW2:AW5"/>
    <mergeCell ref="AX2:AX5"/>
    <mergeCell ref="AD2:AE4"/>
    <mergeCell ref="V3:W4"/>
    <mergeCell ref="X3:Y4"/>
    <mergeCell ref="Z3:AA4"/>
    <mergeCell ref="AB3:AC4"/>
    <mergeCell ref="AF3:AG4"/>
    <mergeCell ref="AH3:AI4"/>
    <mergeCell ref="AJ3:AK4"/>
    <mergeCell ref="AL3:AN4"/>
    <mergeCell ref="AO3:AQ4"/>
    <mergeCell ref="AR3:AT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zoomScale="83" zoomScaleNormal="83" workbookViewId="0">
      <pane ySplit="1" topLeftCell="A2" activePane="bottomLeft" state="frozen"/>
      <selection/>
      <selection pane="bottomLeft" activeCell="R17" sqref="R17"/>
    </sheetView>
  </sheetViews>
  <sheetFormatPr defaultColWidth="9" defaultRowHeight="13.8"/>
  <cols>
    <col min="1" max="1" width="17.1833333333333" style="70" customWidth="1"/>
    <col min="2" max="2" width="9.625" style="70" customWidth="1"/>
    <col min="3" max="3" width="11.5" style="70" customWidth="1"/>
    <col min="4" max="4" width="14.25" style="70" customWidth="1"/>
    <col min="5" max="5" width="9.375" style="70" customWidth="1"/>
    <col min="6" max="6" width="9.5" style="70" customWidth="1"/>
    <col min="7" max="7" width="11.5" style="70" customWidth="1"/>
    <col min="8" max="8" width="11.25" style="70" customWidth="1"/>
    <col min="9" max="9" width="10" style="70" customWidth="1"/>
    <col min="10" max="10" width="10.375" style="70" customWidth="1"/>
    <col min="11" max="11" width="10" style="70" customWidth="1"/>
    <col min="12" max="15" width="10.375" style="70" customWidth="1"/>
    <col min="16" max="16" width="11.5" style="70" customWidth="1"/>
    <col min="17" max="17" width="10" style="70" customWidth="1"/>
    <col min="18" max="18" width="10.875" style="70" customWidth="1"/>
    <col min="19" max="19" width="13" style="70" customWidth="1"/>
    <col min="20" max="20" width="9" style="69"/>
    <col min="21" max="16384" width="9" style="70"/>
  </cols>
  <sheetData>
    <row r="1" s="70" customFormat="1" ht="30" customHeight="1" spans="1:20">
      <c r="A1" s="285" t="s">
        <v>49</v>
      </c>
      <c r="B1" s="285" t="s">
        <v>50</v>
      </c>
      <c r="C1" s="285" t="s">
        <v>51</v>
      </c>
      <c r="D1" s="285" t="s">
        <v>52</v>
      </c>
      <c r="E1" s="285" t="s">
        <v>53</v>
      </c>
      <c r="F1" s="285" t="s">
        <v>54</v>
      </c>
      <c r="G1" s="285" t="s">
        <v>55</v>
      </c>
      <c r="H1" s="285" t="s">
        <v>56</v>
      </c>
      <c r="I1" s="285" t="s">
        <v>57</v>
      </c>
      <c r="J1" s="285" t="s">
        <v>58</v>
      </c>
      <c r="K1" s="285" t="s">
        <v>59</v>
      </c>
      <c r="L1" s="285" t="s">
        <v>60</v>
      </c>
      <c r="M1" s="285" t="s">
        <v>61</v>
      </c>
      <c r="N1" s="285" t="s">
        <v>62</v>
      </c>
      <c r="O1" s="285" t="s">
        <v>63</v>
      </c>
      <c r="P1" s="285" t="s">
        <v>64</v>
      </c>
      <c r="Q1" s="285" t="s">
        <v>65</v>
      </c>
      <c r="R1" s="285" t="s">
        <v>66</v>
      </c>
      <c r="S1" s="285" t="s">
        <v>67</v>
      </c>
      <c r="T1" s="92" t="s">
        <v>68</v>
      </c>
    </row>
    <row r="2" s="70" customFormat="1" ht="24.95" customHeight="1" spans="1:20">
      <c r="A2" s="286" t="s">
        <v>69</v>
      </c>
      <c r="B2" s="287" t="s">
        <v>70</v>
      </c>
      <c r="C2" s="271" t="s">
        <v>71</v>
      </c>
      <c r="D2" s="271" t="s">
        <v>72</v>
      </c>
      <c r="E2" s="271"/>
      <c r="F2" s="271"/>
      <c r="G2" s="271"/>
      <c r="H2" s="271"/>
      <c r="I2" s="288">
        <v>792</v>
      </c>
      <c r="J2" s="271">
        <f>497*14+249*16+46*0</f>
        <v>10942</v>
      </c>
      <c r="K2" s="270"/>
      <c r="L2" s="271"/>
      <c r="M2" s="271"/>
      <c r="N2" s="271"/>
      <c r="O2" s="270"/>
      <c r="P2" s="271"/>
      <c r="Q2" s="289">
        <f t="shared" ref="Q2:Q12" si="0">E2+G2+I2+K2+O2+M2</f>
        <v>792</v>
      </c>
      <c r="R2" s="289">
        <f t="shared" ref="R2:R12" si="1">F2+H2+J2+L2+P2+N2</f>
        <v>10942</v>
      </c>
      <c r="S2" s="290"/>
      <c r="T2" s="69">
        <v>405</v>
      </c>
    </row>
    <row r="3" s="70" customFormat="1" ht="24.95" customHeight="1" spans="1:20">
      <c r="A3" s="286" t="s">
        <v>73</v>
      </c>
      <c r="B3" s="287" t="s">
        <v>70</v>
      </c>
      <c r="C3" s="271" t="s">
        <v>74</v>
      </c>
      <c r="D3" s="271" t="s">
        <v>72</v>
      </c>
      <c r="E3" s="271"/>
      <c r="F3" s="271"/>
      <c r="G3" s="271"/>
      <c r="H3" s="271"/>
      <c r="I3" s="270"/>
      <c r="J3" s="271"/>
      <c r="K3" s="288">
        <v>180</v>
      </c>
      <c r="L3" s="271">
        <f>K3*19</f>
        <v>3420</v>
      </c>
      <c r="M3" s="271"/>
      <c r="N3" s="271"/>
      <c r="O3" s="288">
        <v>48</v>
      </c>
      <c r="P3" s="271">
        <f>O3*13</f>
        <v>624</v>
      </c>
      <c r="Q3" s="289">
        <f t="shared" si="0"/>
        <v>228</v>
      </c>
      <c r="R3" s="289">
        <f t="shared" si="1"/>
        <v>4044</v>
      </c>
      <c r="S3" s="290"/>
      <c r="T3" s="69"/>
    </row>
    <row r="4" s="70" customFormat="1" ht="24.95" customHeight="1" spans="1:20">
      <c r="A4" s="286" t="s">
        <v>75</v>
      </c>
      <c r="B4" s="287" t="s">
        <v>70</v>
      </c>
      <c r="C4" s="271" t="s">
        <v>71</v>
      </c>
      <c r="D4" s="271" t="s">
        <v>76</v>
      </c>
      <c r="E4" s="271"/>
      <c r="F4" s="271"/>
      <c r="G4" s="271"/>
      <c r="H4" s="271"/>
      <c r="I4" s="270"/>
      <c r="J4" s="271"/>
      <c r="K4" s="270">
        <v>915</v>
      </c>
      <c r="L4" s="271">
        <f>K4*13</f>
        <v>11895</v>
      </c>
      <c r="M4" s="271"/>
      <c r="N4" s="271"/>
      <c r="O4" s="270"/>
      <c r="P4" s="271"/>
      <c r="Q4" s="289">
        <f t="shared" si="0"/>
        <v>915</v>
      </c>
      <c r="R4" s="289">
        <f t="shared" si="1"/>
        <v>11895</v>
      </c>
      <c r="S4" s="290"/>
      <c r="T4" s="69">
        <v>346</v>
      </c>
    </row>
    <row r="5" s="70" customFormat="1" ht="24.95" customHeight="1" spans="1:20">
      <c r="A5" s="286" t="s">
        <v>77</v>
      </c>
      <c r="B5" s="287" t="s">
        <v>70</v>
      </c>
      <c r="C5" s="271" t="s">
        <v>78</v>
      </c>
      <c r="D5" s="271" t="s">
        <v>79</v>
      </c>
      <c r="E5" s="271"/>
      <c r="F5" s="271"/>
      <c r="G5" s="271"/>
      <c r="H5" s="271"/>
      <c r="I5" s="270"/>
      <c r="J5" s="271"/>
      <c r="K5" s="270">
        <v>1004</v>
      </c>
      <c r="L5" s="271">
        <f>K5*12</f>
        <v>12048</v>
      </c>
      <c r="M5" s="271"/>
      <c r="N5" s="271"/>
      <c r="O5" s="270">
        <v>3006</v>
      </c>
      <c r="P5" s="271">
        <f>O5*7.5</f>
        <v>22545</v>
      </c>
      <c r="Q5" s="289">
        <f t="shared" si="0"/>
        <v>4010</v>
      </c>
      <c r="R5" s="289">
        <f t="shared" si="1"/>
        <v>34593</v>
      </c>
      <c r="S5" s="290"/>
      <c r="T5" s="291">
        <v>1387.6</v>
      </c>
    </row>
    <row r="6" s="70" customFormat="1" ht="24.95" customHeight="1" spans="1:20">
      <c r="A6" s="286" t="s">
        <v>80</v>
      </c>
      <c r="B6" s="287" t="s">
        <v>70</v>
      </c>
      <c r="C6" s="271" t="s">
        <v>71</v>
      </c>
      <c r="D6" s="271" t="s">
        <v>81</v>
      </c>
      <c r="E6" s="271"/>
      <c r="F6" s="271"/>
      <c r="G6" s="271"/>
      <c r="H6" s="271"/>
      <c r="I6" s="288">
        <v>1860</v>
      </c>
      <c r="J6" s="271">
        <f>900*16+960*15</f>
        <v>28800</v>
      </c>
      <c r="K6" s="270"/>
      <c r="L6" s="271"/>
      <c r="M6" s="271"/>
      <c r="N6" s="271"/>
      <c r="O6" s="270"/>
      <c r="P6" s="271"/>
      <c r="Q6" s="289">
        <f t="shared" si="0"/>
        <v>1860</v>
      </c>
      <c r="R6" s="289">
        <f t="shared" si="1"/>
        <v>28800</v>
      </c>
      <c r="S6" s="290"/>
      <c r="T6" s="291">
        <v>1027.31</v>
      </c>
    </row>
    <row r="7" s="70" customFormat="1" ht="24.95" customHeight="1" spans="1:20">
      <c r="A7" s="286"/>
      <c r="B7" s="287"/>
      <c r="C7" s="271"/>
      <c r="D7" s="271"/>
      <c r="E7" s="271"/>
      <c r="F7" s="271"/>
      <c r="G7" s="271"/>
      <c r="H7" s="271"/>
      <c r="I7" s="270"/>
      <c r="J7" s="271"/>
      <c r="K7" s="270"/>
      <c r="L7" s="271"/>
      <c r="M7" s="271"/>
      <c r="N7" s="271"/>
      <c r="O7" s="270"/>
      <c r="P7" s="271"/>
      <c r="Q7" s="289">
        <f t="shared" si="0"/>
        <v>0</v>
      </c>
      <c r="R7" s="289">
        <f t="shared" si="1"/>
        <v>0</v>
      </c>
      <c r="S7" s="290"/>
      <c r="T7" s="69"/>
    </row>
    <row r="8" s="70" customFormat="1" ht="24.95" customHeight="1" spans="1:20">
      <c r="A8" s="286"/>
      <c r="B8" s="287"/>
      <c r="C8" s="271"/>
      <c r="D8" s="271"/>
      <c r="E8" s="271"/>
      <c r="F8" s="271"/>
      <c r="G8" s="271"/>
      <c r="H8" s="271"/>
      <c r="I8" s="270"/>
      <c r="J8" s="271"/>
      <c r="K8" s="270"/>
      <c r="L8" s="271"/>
      <c r="M8" s="271"/>
      <c r="N8" s="271"/>
      <c r="O8" s="270"/>
      <c r="P8" s="271"/>
      <c r="Q8" s="289">
        <f t="shared" si="0"/>
        <v>0</v>
      </c>
      <c r="R8" s="289">
        <f t="shared" si="1"/>
        <v>0</v>
      </c>
      <c r="S8" s="290"/>
      <c r="T8" s="69"/>
    </row>
    <row r="9" s="70" customFormat="1" ht="24.95" customHeight="1" spans="1:20">
      <c r="A9" s="286"/>
      <c r="B9" s="287"/>
      <c r="C9" s="271"/>
      <c r="D9" s="271"/>
      <c r="E9" s="271"/>
      <c r="F9" s="271"/>
      <c r="G9" s="271"/>
      <c r="H9" s="271"/>
      <c r="I9" s="270"/>
      <c r="J9" s="271"/>
      <c r="K9" s="270"/>
      <c r="L9" s="271"/>
      <c r="M9" s="271"/>
      <c r="N9" s="271"/>
      <c r="O9" s="270"/>
      <c r="P9" s="271"/>
      <c r="Q9" s="289">
        <f t="shared" si="0"/>
        <v>0</v>
      </c>
      <c r="R9" s="289">
        <f t="shared" si="1"/>
        <v>0</v>
      </c>
      <c r="S9" s="290"/>
      <c r="T9" s="69"/>
    </row>
    <row r="10" s="70" customFormat="1" ht="24.95" customHeight="1" spans="1:20">
      <c r="A10" s="286"/>
      <c r="B10" s="287"/>
      <c r="C10" s="271"/>
      <c r="D10" s="271"/>
      <c r="E10" s="271"/>
      <c r="F10" s="271"/>
      <c r="G10" s="292"/>
      <c r="H10" s="271"/>
      <c r="I10" s="271"/>
      <c r="J10" s="271"/>
      <c r="K10" s="270"/>
      <c r="L10" s="271"/>
      <c r="M10" s="271"/>
      <c r="N10" s="271"/>
      <c r="O10" s="270"/>
      <c r="P10" s="271"/>
      <c r="Q10" s="289">
        <f t="shared" si="0"/>
        <v>0</v>
      </c>
      <c r="R10" s="289">
        <f t="shared" si="1"/>
        <v>0</v>
      </c>
      <c r="S10" s="290"/>
      <c r="T10" s="69"/>
    </row>
    <row r="11" s="70" customFormat="1" ht="24.95" customHeight="1" spans="1:20">
      <c r="A11" s="286"/>
      <c r="B11" s="287"/>
      <c r="C11" s="271"/>
      <c r="D11" s="271"/>
      <c r="E11" s="271"/>
      <c r="F11" s="271"/>
      <c r="G11" s="271"/>
      <c r="H11" s="271"/>
      <c r="I11" s="271"/>
      <c r="J11" s="271"/>
      <c r="K11" s="270"/>
      <c r="L11" s="271"/>
      <c r="M11" s="271"/>
      <c r="N11" s="271"/>
      <c r="O11" s="270"/>
      <c r="P11" s="271"/>
      <c r="Q11" s="289">
        <f t="shared" si="0"/>
        <v>0</v>
      </c>
      <c r="R11" s="289">
        <f t="shared" si="1"/>
        <v>0</v>
      </c>
      <c r="S11" s="290"/>
      <c r="T11" s="69"/>
    </row>
    <row r="12" s="70" customFormat="1" ht="24.95" customHeight="1" spans="1:20">
      <c r="A12" s="286"/>
      <c r="B12" s="287"/>
      <c r="C12" s="271"/>
      <c r="D12" s="271"/>
      <c r="E12" s="271"/>
      <c r="F12" s="271"/>
      <c r="G12" s="271"/>
      <c r="H12" s="271"/>
      <c r="I12" s="271"/>
      <c r="J12" s="271"/>
      <c r="K12" s="270"/>
      <c r="L12" s="271"/>
      <c r="M12" s="271"/>
      <c r="N12" s="271"/>
      <c r="O12" s="270"/>
      <c r="P12" s="271"/>
      <c r="Q12" s="289">
        <f t="shared" si="0"/>
        <v>0</v>
      </c>
      <c r="R12" s="289">
        <f t="shared" si="1"/>
        <v>0</v>
      </c>
      <c r="S12" s="290"/>
      <c r="T12" s="69"/>
    </row>
    <row r="13" s="70" customFormat="1" ht="24.95" customHeight="1" spans="1:20">
      <c r="A13" s="293" t="s">
        <v>82</v>
      </c>
      <c r="B13" s="294"/>
      <c r="C13" s="294"/>
      <c r="D13" s="295"/>
      <c r="E13" s="296">
        <f t="shared" ref="E13:R13" si="2">SUM(E2:E12)</f>
        <v>0</v>
      </c>
      <c r="F13" s="296">
        <f t="shared" si="2"/>
        <v>0</v>
      </c>
      <c r="G13" s="296">
        <f t="shared" si="2"/>
        <v>0</v>
      </c>
      <c r="H13" s="296">
        <f t="shared" si="2"/>
        <v>0</v>
      </c>
      <c r="I13" s="296">
        <f t="shared" si="2"/>
        <v>2652</v>
      </c>
      <c r="J13" s="296">
        <f t="shared" si="2"/>
        <v>39742</v>
      </c>
      <c r="K13" s="296">
        <f t="shared" si="2"/>
        <v>2099</v>
      </c>
      <c r="L13" s="296">
        <f t="shared" si="2"/>
        <v>27363</v>
      </c>
      <c r="M13" s="296">
        <f t="shared" si="2"/>
        <v>0</v>
      </c>
      <c r="N13" s="296">
        <f t="shared" si="2"/>
        <v>0</v>
      </c>
      <c r="O13" s="296">
        <f t="shared" si="2"/>
        <v>3054</v>
      </c>
      <c r="P13" s="296">
        <f t="shared" si="2"/>
        <v>23169</v>
      </c>
      <c r="Q13" s="296">
        <f t="shared" si="2"/>
        <v>7805</v>
      </c>
      <c r="R13" s="296">
        <f t="shared" si="2"/>
        <v>90274</v>
      </c>
      <c r="S13" s="296"/>
      <c r="T13" s="69"/>
    </row>
    <row r="14" s="70" customFormat="1" ht="27" customHeight="1" spans="1:20">
      <c r="J14" s="297" t="s">
        <v>83</v>
      </c>
      <c r="K14" s="298" t="s">
        <v>84</v>
      </c>
      <c r="L14" s="299"/>
      <c r="M14" s="300"/>
      <c r="N14" s="300"/>
      <c r="O14" s="301" t="s">
        <v>83</v>
      </c>
      <c r="P14" s="109"/>
      <c r="Q14" s="109"/>
      <c r="T14" s="69"/>
    </row>
    <row r="15" s="70" customFormat="1" ht="29" customHeight="1" spans="1:20">
      <c r="J15" s="297"/>
      <c r="K15" s="298" t="s">
        <v>70</v>
      </c>
      <c r="L15" s="299"/>
      <c r="M15" s="302"/>
      <c r="N15" s="302"/>
      <c r="O15" s="301" t="s">
        <v>85</v>
      </c>
      <c r="P15" s="301"/>
      <c r="Q15" s="301"/>
      <c r="T15" s="69"/>
    </row>
    <row r="16" s="70" customFormat="1" ht="29" customHeight="1" spans="1:20">
      <c r="J16" s="297"/>
      <c r="K16" s="298" t="s">
        <v>86</v>
      </c>
      <c r="L16" s="299"/>
      <c r="M16" s="302"/>
      <c r="N16" s="302"/>
      <c r="O16" s="301" t="s">
        <v>43</v>
      </c>
      <c r="P16" s="301">
        <f>SUM(P14:P15)</f>
        <v>0</v>
      </c>
      <c r="Q16" s="301">
        <f>SUM(Q14:Q15)</f>
        <v>0</v>
      </c>
      <c r="T16" s="69"/>
    </row>
    <row r="17" s="70" customFormat="1" ht="31" customHeight="1" spans="10:20">
      <c r="J17" s="297" t="s">
        <v>85</v>
      </c>
      <c r="K17" s="298" t="s">
        <v>70</v>
      </c>
      <c r="L17" s="299"/>
      <c r="T17" s="69"/>
    </row>
    <row r="18" s="70" customFormat="1" ht="27" customHeight="1" spans="10:20">
      <c r="J18" s="297"/>
      <c r="K18" s="298" t="s">
        <v>86</v>
      </c>
      <c r="L18" s="303"/>
      <c r="T18" s="69"/>
    </row>
    <row r="19" s="70" customFormat="1" spans="10:20">
      <c r="T19" s="69"/>
    </row>
    <row r="20" s="70" customFormat="1" spans="10:20">
      <c r="T20" s="69"/>
    </row>
    <row r="21" s="70" customFormat="1" spans="10:20">
      <c r="T21" s="69"/>
    </row>
    <row r="22" s="70" customFormat="1" spans="10:20">
      <c r="T22" s="69"/>
    </row>
    <row r="23" s="70" customFormat="1" spans="10:20">
      <c r="T23" s="69"/>
    </row>
    <row r="24" s="70" customFormat="1" spans="10:20">
      <c r="T24" s="69"/>
    </row>
    <row r="25" s="70" customFormat="1" spans="10:20">
      <c r="T25" s="69"/>
    </row>
    <row r="26" s="70" customFormat="1" spans="10:20">
      <c r="T26" s="69"/>
    </row>
    <row r="27" s="70" customFormat="1" spans="10:20">
      <c r="T27" s="69"/>
    </row>
    <row r="28" s="70" customFormat="1" spans="10:20">
      <c r="T28" s="69"/>
    </row>
    <row r="29" s="70" customFormat="1" spans="10:20">
      <c r="T29" s="69"/>
    </row>
    <row r="30" s="70" customFormat="1" spans="10:20">
      <c r="T30" s="69"/>
    </row>
    <row r="31" s="70" customFormat="1" spans="10:20">
      <c r="T31" s="69"/>
    </row>
    <row r="32" s="70" customFormat="1" spans="10:20">
      <c r="T32" s="69"/>
    </row>
    <row r="33" s="70" customFormat="1" spans="20:20">
      <c r="T33" s="69"/>
    </row>
    <row r="34" s="70" customFormat="1" spans="20:20">
      <c r="T34" s="69"/>
    </row>
    <row r="35" s="70" customFormat="1" spans="20:20">
      <c r="T35" s="69"/>
    </row>
    <row r="36" s="70" customFormat="1" spans="20:20">
      <c r="T36" s="69"/>
    </row>
    <row r="37" s="70" customFormat="1" spans="20:20">
      <c r="T37" s="69"/>
    </row>
    <row r="38" s="70" customFormat="1" spans="20:20">
      <c r="T38" s="69"/>
    </row>
    <row r="39" s="70" customFormat="1" spans="20:20">
      <c r="T39" s="69"/>
    </row>
    <row r="40" s="70" customFormat="1" spans="20:20">
      <c r="T40" s="69"/>
    </row>
  </sheetData>
  <mergeCells count="3">
    <mergeCell ref="A13:D13"/>
    <mergeCell ref="J14:J16"/>
    <mergeCell ref="J17:J1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"/>
  <sheetViews>
    <sheetView topLeftCell="A11" workbookViewId="0">
      <selection activeCell="E13" sqref="E13"/>
    </sheetView>
  </sheetViews>
  <sheetFormatPr defaultColWidth="9" defaultRowHeight="15.6"/>
  <cols>
    <col min="1" max="1" width="28.25" style="227" customWidth="1"/>
    <col min="2" max="2" width="14.125" style="227" customWidth="1"/>
    <col min="3" max="3" width="16.375" style="227" customWidth="1"/>
    <col min="4" max="4" width="14.25" style="228" customWidth="1"/>
    <col min="5" max="5" width="17.3333333333333" style="227" customWidth="1"/>
    <col min="6" max="6" width="29.25" style="227" customWidth="1"/>
    <col min="7" max="7" width="14.875" style="227" customWidth="1"/>
    <col min="8" max="8" width="16" style="227" customWidth="1"/>
    <col min="9" max="9" width="15.875" style="228" customWidth="1"/>
    <col min="10" max="10" width="16" style="227"/>
    <col min="11" max="11" width="9.75" customWidth="1"/>
    <col min="14" max="14" width="9.375"/>
  </cols>
  <sheetData>
    <row r="1" ht="18" customHeight="1" spans="1:14">
      <c r="A1" s="229" t="s">
        <v>87</v>
      </c>
      <c r="B1" s="230"/>
      <c r="C1" s="230"/>
      <c r="D1" s="231"/>
      <c r="F1" s="229" t="s">
        <v>88</v>
      </c>
      <c r="G1" s="230"/>
      <c r="H1" s="230"/>
      <c r="I1" s="231"/>
    </row>
    <row r="2" ht="20" customHeight="1" spans="1:14">
      <c r="A2" s="204" t="s">
        <v>89</v>
      </c>
      <c r="B2" s="205" t="s">
        <v>90</v>
      </c>
      <c r="C2" s="232" t="s">
        <v>91</v>
      </c>
      <c r="D2" s="233" t="s">
        <v>92</v>
      </c>
      <c r="F2" s="204" t="s">
        <v>89</v>
      </c>
      <c r="G2" s="205" t="s">
        <v>90</v>
      </c>
      <c r="H2" s="232" t="s">
        <v>91</v>
      </c>
      <c r="I2" s="233" t="s">
        <v>92</v>
      </c>
      <c r="K2" s="234"/>
      <c r="L2" s="234"/>
      <c r="M2" s="234"/>
      <c r="N2" s="234"/>
    </row>
    <row r="3" ht="18" customHeight="1" spans="1:14">
      <c r="A3" s="208" t="s">
        <v>83</v>
      </c>
      <c r="B3" s="176"/>
      <c r="C3" s="176"/>
      <c r="D3" s="235" t="e">
        <f>C3/B3</f>
        <v>#DIV/0!</v>
      </c>
      <c r="F3" s="208" t="s">
        <v>83</v>
      </c>
      <c r="G3" s="176"/>
      <c r="H3" s="176"/>
      <c r="I3" s="235" t="e">
        <f t="shared" ref="I3:I18" si="0">H3/G3</f>
        <v>#DIV/0!</v>
      </c>
      <c r="K3" s="234"/>
      <c r="L3" s="234"/>
      <c r="M3" s="234"/>
      <c r="N3" s="234"/>
    </row>
    <row r="4" ht="18" customHeight="1" spans="1:14">
      <c r="A4" s="208" t="s">
        <v>93</v>
      </c>
      <c r="B4" s="176">
        <f>1796+144</f>
        <v>1940</v>
      </c>
      <c r="C4" s="176">
        <f>29720+2736</f>
        <v>32456</v>
      </c>
      <c r="D4" s="235">
        <f>C4/B4</f>
        <v>16.7298969072165</v>
      </c>
      <c r="F4" s="208" t="s">
        <v>93</v>
      </c>
      <c r="G4" s="176">
        <v>1588</v>
      </c>
      <c r="H4" s="176">
        <v>26416</v>
      </c>
      <c r="I4" s="235">
        <f t="shared" si="0"/>
        <v>16.6347607052897</v>
      </c>
      <c r="K4" s="234"/>
      <c r="L4" s="234"/>
      <c r="M4" s="234"/>
      <c r="N4" s="234"/>
    </row>
    <row r="5" ht="18" customHeight="1" spans="1:14">
      <c r="A5" s="208" t="s">
        <v>94</v>
      </c>
      <c r="B5" s="176">
        <f>216+2804+1080</f>
        <v>4100</v>
      </c>
      <c r="C5" s="176">
        <f>4752+70672+27000</f>
        <v>102424</v>
      </c>
      <c r="D5" s="235">
        <f>C5/B5</f>
        <v>24.9814634146341</v>
      </c>
      <c r="F5" s="208" t="s">
        <v>94</v>
      </c>
      <c r="G5" s="176">
        <f>504+2944</f>
        <v>3448</v>
      </c>
      <c r="H5" s="176">
        <f>11088+62684</f>
        <v>73772</v>
      </c>
      <c r="I5" s="235">
        <f t="shared" si="0"/>
        <v>21.3955916473318</v>
      </c>
      <c r="K5" s="234"/>
      <c r="L5" s="234"/>
      <c r="M5" s="234"/>
      <c r="N5" s="234"/>
    </row>
    <row r="6" ht="18" customHeight="1" spans="1:14">
      <c r="A6" s="208" t="s">
        <v>95</v>
      </c>
      <c r="B6" s="176">
        <v>2206</v>
      </c>
      <c r="C6" s="176">
        <v>30053</v>
      </c>
      <c r="D6" s="235">
        <f>C6/B6</f>
        <v>13.6233000906618</v>
      </c>
      <c r="F6" s="208" t="s">
        <v>95</v>
      </c>
      <c r="G6" s="176">
        <v>3721</v>
      </c>
      <c r="H6" s="176">
        <v>48489</v>
      </c>
      <c r="I6" s="235">
        <f t="shared" si="0"/>
        <v>13.0311744154797</v>
      </c>
      <c r="K6" s="234"/>
      <c r="L6" s="234"/>
      <c r="M6" s="234"/>
      <c r="N6" s="234"/>
    </row>
    <row r="7" ht="18" customHeight="1" spans="1:14">
      <c r="A7" s="208" t="s">
        <v>96</v>
      </c>
      <c r="B7" s="176">
        <v>17812</v>
      </c>
      <c r="C7" s="176">
        <v>314316</v>
      </c>
      <c r="D7" s="235">
        <f>C7/B7</f>
        <v>17.6463058612172</v>
      </c>
      <c r="F7" s="208" t="s">
        <v>96</v>
      </c>
      <c r="G7" s="176">
        <v>14417</v>
      </c>
      <c r="H7" s="176">
        <v>230184</v>
      </c>
      <c r="I7" s="235">
        <f t="shared" si="0"/>
        <v>15.9661510716515</v>
      </c>
      <c r="K7" s="234"/>
      <c r="L7" s="234"/>
      <c r="M7" s="234"/>
      <c r="N7" s="234"/>
    </row>
    <row r="8" ht="18" customHeight="1" spans="1:14">
      <c r="A8" s="208" t="s">
        <v>97</v>
      </c>
      <c r="B8" s="176">
        <v>613</v>
      </c>
      <c r="C8" s="176">
        <v>9203</v>
      </c>
      <c r="D8" s="235">
        <f t="shared" ref="D8:D18" si="1">C8/B8</f>
        <v>15.0130505709625</v>
      </c>
      <c r="F8" s="208" t="s">
        <v>97</v>
      </c>
      <c r="G8" s="176">
        <v>1292</v>
      </c>
      <c r="H8" s="176">
        <v>15749</v>
      </c>
      <c r="I8" s="235">
        <f t="shared" si="0"/>
        <v>12.1896284829721</v>
      </c>
      <c r="K8" s="234"/>
      <c r="L8" s="234"/>
      <c r="M8" s="234"/>
      <c r="N8" s="234"/>
    </row>
    <row r="9" ht="18" customHeight="1" spans="1:14">
      <c r="A9" s="208" t="s">
        <v>98</v>
      </c>
      <c r="B9" s="176">
        <v>3720</v>
      </c>
      <c r="C9" s="176">
        <v>60496</v>
      </c>
      <c r="D9" s="235">
        <f t="shared" si="1"/>
        <v>16.2623655913978</v>
      </c>
      <c r="F9" s="208" t="s">
        <v>98</v>
      </c>
      <c r="G9" s="176">
        <v>3741</v>
      </c>
      <c r="H9" s="176">
        <v>62685</v>
      </c>
      <c r="I9" s="235">
        <f t="shared" si="0"/>
        <v>16.7562149157979</v>
      </c>
      <c r="K9" s="234"/>
      <c r="L9" s="234"/>
      <c r="M9" s="234"/>
      <c r="N9" s="234"/>
    </row>
    <row r="10" ht="18" customHeight="1" spans="1:14">
      <c r="A10" s="208" t="s">
        <v>99</v>
      </c>
      <c r="B10" s="176"/>
      <c r="C10" s="176"/>
      <c r="D10" s="235" t="e">
        <f t="shared" si="1"/>
        <v>#DIV/0!</v>
      </c>
      <c r="F10" s="208" t="s">
        <v>99</v>
      </c>
      <c r="G10" s="176"/>
      <c r="H10" s="176"/>
      <c r="I10" s="235" t="e">
        <f t="shared" si="0"/>
        <v>#DIV/0!</v>
      </c>
      <c r="K10" s="234"/>
      <c r="L10" s="234"/>
      <c r="M10" s="234"/>
      <c r="N10" s="234"/>
    </row>
    <row r="11" ht="18" customHeight="1" spans="1:14">
      <c r="A11" s="208" t="s">
        <v>100</v>
      </c>
      <c r="B11" s="176"/>
      <c r="C11" s="176"/>
      <c r="D11" s="235" t="e">
        <f t="shared" si="1"/>
        <v>#DIV/0!</v>
      </c>
      <c r="F11" s="208" t="s">
        <v>100</v>
      </c>
      <c r="G11" s="176"/>
      <c r="H11" s="176"/>
      <c r="I11" s="235" t="e">
        <f t="shared" si="0"/>
        <v>#DIV/0!</v>
      </c>
      <c r="K11" s="234"/>
      <c r="L11" s="234"/>
      <c r="M11" s="234"/>
      <c r="N11" s="234"/>
    </row>
    <row r="12" ht="18" customHeight="1" spans="1:14">
      <c r="A12" s="208" t="s">
        <v>101</v>
      </c>
      <c r="B12" s="176"/>
      <c r="C12" s="176"/>
      <c r="D12" s="235" t="e">
        <f t="shared" si="1"/>
        <v>#DIV/0!</v>
      </c>
      <c r="F12" s="208" t="s">
        <v>101</v>
      </c>
      <c r="G12" s="176"/>
      <c r="H12" s="176"/>
      <c r="I12" s="235" t="e">
        <f t="shared" si="0"/>
        <v>#DIV/0!</v>
      </c>
      <c r="K12" s="234"/>
      <c r="L12" s="234"/>
      <c r="M12" s="234"/>
      <c r="N12" s="234"/>
    </row>
    <row r="13" ht="18" customHeight="1" spans="1:14">
      <c r="A13" s="208" t="s">
        <v>102</v>
      </c>
      <c r="B13" s="176"/>
      <c r="C13" s="176"/>
      <c r="D13" s="235" t="e">
        <f t="shared" si="1"/>
        <v>#DIV/0!</v>
      </c>
      <c r="F13" s="208" t="s">
        <v>102</v>
      </c>
      <c r="G13" s="176"/>
      <c r="H13" s="176"/>
      <c r="I13" s="235" t="e">
        <f t="shared" si="0"/>
        <v>#DIV/0!</v>
      </c>
      <c r="K13" s="234"/>
      <c r="L13" s="234"/>
      <c r="M13" s="234"/>
      <c r="N13" s="234"/>
    </row>
    <row r="14" ht="18" customHeight="1" spans="1:14">
      <c r="A14" s="208" t="s">
        <v>103</v>
      </c>
      <c r="B14" s="176"/>
      <c r="C14" s="176"/>
      <c r="D14" s="235" t="e">
        <f t="shared" si="1"/>
        <v>#DIV/0!</v>
      </c>
      <c r="F14" s="208" t="s">
        <v>103</v>
      </c>
      <c r="G14" s="176"/>
      <c r="H14" s="176"/>
      <c r="I14" s="235" t="e">
        <f t="shared" si="0"/>
        <v>#DIV/0!</v>
      </c>
      <c r="K14" s="234"/>
      <c r="L14" s="234"/>
      <c r="M14" s="234"/>
      <c r="N14" s="234"/>
    </row>
    <row r="15" ht="18" customHeight="1" spans="1:14">
      <c r="A15" s="208" t="s">
        <v>104</v>
      </c>
      <c r="B15" s="176">
        <v>1940</v>
      </c>
      <c r="C15" s="176">
        <v>9490</v>
      </c>
      <c r="D15" s="235">
        <f t="shared" si="1"/>
        <v>4.89175257731959</v>
      </c>
      <c r="F15" s="208" t="s">
        <v>104</v>
      </c>
      <c r="G15" s="176">
        <v>5168</v>
      </c>
      <c r="H15" s="176">
        <v>37660</v>
      </c>
      <c r="I15" s="235">
        <f t="shared" si="0"/>
        <v>7.28715170278638</v>
      </c>
      <c r="K15" s="234"/>
      <c r="L15" s="234"/>
      <c r="M15" s="234"/>
      <c r="N15" s="234"/>
    </row>
    <row r="16" ht="18" customHeight="1" spans="1:14">
      <c r="A16" s="208" t="s">
        <v>26</v>
      </c>
      <c r="B16" s="176">
        <f>B4+B6+B8+B10</f>
        <v>4759</v>
      </c>
      <c r="C16" s="176">
        <f>C4+C6+C8+C10</f>
        <v>71712</v>
      </c>
      <c r="D16" s="235">
        <f t="shared" si="1"/>
        <v>15.0687119142677</v>
      </c>
      <c r="F16" s="208" t="s">
        <v>26</v>
      </c>
      <c r="G16" s="176">
        <f>G4+G6+G8+G10</f>
        <v>6601</v>
      </c>
      <c r="H16" s="176">
        <f>H4+H6+H8+H10</f>
        <v>90654</v>
      </c>
      <c r="I16" s="235">
        <f t="shared" si="0"/>
        <v>13.7333737312528</v>
      </c>
      <c r="K16" s="234"/>
      <c r="L16" s="234"/>
      <c r="M16" s="234"/>
      <c r="N16" s="234"/>
    </row>
    <row r="17" ht="18" customHeight="1" spans="1:14">
      <c r="A17" s="208" t="s">
        <v>27</v>
      </c>
      <c r="B17" s="176">
        <f>B5+B7+B9+B11</f>
        <v>25632</v>
      </c>
      <c r="C17" s="176">
        <f>C5+C7+C9+C11</f>
        <v>477236</v>
      </c>
      <c r="D17" s="235">
        <f t="shared" si="1"/>
        <v>18.6187578027466</v>
      </c>
      <c r="E17" s="228"/>
      <c r="F17" s="208" t="s">
        <v>27</v>
      </c>
      <c r="G17" s="176">
        <f>G5+G7+G9+G11</f>
        <v>21606</v>
      </c>
      <c r="H17" s="176">
        <f>H5+H7+H9+H11</f>
        <v>366641</v>
      </c>
      <c r="I17" s="235">
        <f t="shared" si="0"/>
        <v>16.969406646302</v>
      </c>
      <c r="J17" s="228"/>
      <c r="K17" s="234"/>
      <c r="L17" s="234"/>
      <c r="M17" s="234"/>
      <c r="N17" s="234"/>
    </row>
    <row r="18" ht="18" customHeight="1" spans="1:14">
      <c r="A18" s="220" t="s">
        <v>105</v>
      </c>
      <c r="B18" s="221">
        <f>SUM(B4:B14)</f>
        <v>30391</v>
      </c>
      <c r="C18" s="221">
        <f>SUM(C4:C14)</f>
        <v>548948</v>
      </c>
      <c r="D18" s="236">
        <f t="shared" si="1"/>
        <v>18.062847553552</v>
      </c>
      <c r="E18" s="228"/>
      <c r="F18" s="220" t="s">
        <v>105</v>
      </c>
      <c r="G18" s="221">
        <f>SUM(G4:G14)</f>
        <v>28207</v>
      </c>
      <c r="H18" s="221">
        <f>SUM(H4:H14)</f>
        <v>457295</v>
      </c>
      <c r="I18" s="236">
        <f t="shared" si="0"/>
        <v>16.2121104690325</v>
      </c>
      <c r="J18" s="228"/>
      <c r="K18" s="234"/>
      <c r="L18" s="234"/>
      <c r="N18" s="234"/>
    </row>
    <row r="19" ht="21" customHeight="1" spans="1:14">
      <c r="A19" s="222" t="s">
        <v>82</v>
      </c>
      <c r="B19" s="223">
        <f>B3+B18+B15</f>
        <v>32331</v>
      </c>
      <c r="C19" s="223">
        <f>C3+C18+C15</f>
        <v>558438</v>
      </c>
      <c r="D19" s="237"/>
      <c r="F19" s="222" t="s">
        <v>82</v>
      </c>
      <c r="G19" s="223">
        <f>G3+G18+G15</f>
        <v>33375</v>
      </c>
      <c r="H19" s="223">
        <f>H3+H18+H15</f>
        <v>494955</v>
      </c>
      <c r="I19" s="237"/>
    </row>
    <row r="20" s="226" customFormat="1" ht="16" customHeight="1" spans="1:14">
      <c r="A20" s="238" t="s">
        <v>106</v>
      </c>
      <c r="B20" s="239" t="s">
        <v>107</v>
      </c>
      <c r="C20" s="239" t="s">
        <v>108</v>
      </c>
      <c r="D20" s="239" t="s">
        <v>109</v>
      </c>
      <c r="E20" s="239" t="s">
        <v>13</v>
      </c>
      <c r="F20" s="239" t="s">
        <v>110</v>
      </c>
      <c r="G20" s="239" t="s">
        <v>111</v>
      </c>
      <c r="H20" s="240" t="s">
        <v>104</v>
      </c>
      <c r="I20" s="241"/>
      <c r="J20" s="242"/>
    </row>
    <row r="21" ht="18" customHeight="1" spans="1:14">
      <c r="A21" s="243"/>
      <c r="B21" s="244">
        <f>B19-G19</f>
        <v>-1044</v>
      </c>
      <c r="C21" s="244">
        <f>C19-H19</f>
        <v>63483</v>
      </c>
      <c r="D21" s="245">
        <f>B3-G3</f>
        <v>0</v>
      </c>
      <c r="E21" s="244">
        <f>(B4+B5)-G4-G5</f>
        <v>1004</v>
      </c>
      <c r="F21" s="244">
        <f>B7+B6-G6-G7</f>
        <v>1880</v>
      </c>
      <c r="G21" s="244">
        <f>B9+B8-G8-G9</f>
        <v>-700</v>
      </c>
      <c r="H21" s="246">
        <f>B15-G15</f>
        <v>-3228</v>
      </c>
    </row>
    <row r="22" ht="29" customHeight="1" spans="1:14">
      <c r="A22" s="247"/>
      <c r="D22" s="248"/>
    </row>
    <row r="23" ht="19" customHeight="1" spans="1:14">
      <c r="A23" s="229" t="s">
        <v>112</v>
      </c>
      <c r="B23" s="230"/>
      <c r="C23" s="230"/>
      <c r="D23" s="231"/>
      <c r="F23" s="229"/>
      <c r="G23" s="230"/>
      <c r="H23" s="230"/>
      <c r="I23" s="231"/>
    </row>
    <row r="24" ht="18" customHeight="1" spans="1:14">
      <c r="A24" s="204" t="s">
        <v>89</v>
      </c>
      <c r="B24" s="205" t="s">
        <v>90</v>
      </c>
      <c r="C24" s="232" t="s">
        <v>91</v>
      </c>
      <c r="D24" s="233" t="s">
        <v>92</v>
      </c>
      <c r="G24" s="249"/>
      <c r="H24" s="250"/>
      <c r="I24" s="251"/>
    </row>
    <row r="25" ht="18" customHeight="1" spans="1:14">
      <c r="A25" s="208" t="s">
        <v>83</v>
      </c>
      <c r="B25" s="176">
        <f>'26年新历销售'!F18+'26年新历销售'!H18+'26年新历销售'!J18</f>
        <v>75296</v>
      </c>
      <c r="C25" s="176">
        <f>'26年新历销售'!G18+'26年新历销售'!I18+'26年新历销售'!K18</f>
        <v>683985</v>
      </c>
      <c r="D25" s="235">
        <f t="shared" ref="D25:D40" si="2">C25/B25</f>
        <v>9.08394868253294</v>
      </c>
      <c r="G25" s="252"/>
      <c r="H25" s="252"/>
      <c r="I25" s="253"/>
    </row>
    <row r="26" ht="18" customHeight="1" spans="1:14">
      <c r="A26" s="208" t="s">
        <v>93</v>
      </c>
      <c r="B26" s="176">
        <f>'26年新历销售'!L18+'26年新历销售'!P18</f>
        <v>30274</v>
      </c>
      <c r="C26" s="176">
        <f>'26年新历销售'!N18+'26年新历销售'!R18</f>
        <v>513195.6</v>
      </c>
      <c r="D26" s="235">
        <f t="shared" si="2"/>
        <v>16.9516945233534</v>
      </c>
      <c r="E26" s="227" t="s">
        <v>113</v>
      </c>
      <c r="F26" s="229" t="s">
        <v>114</v>
      </c>
      <c r="G26" s="230"/>
      <c r="H26" s="230"/>
      <c r="I26" s="231"/>
    </row>
    <row r="27" ht="18" customHeight="1" spans="1:14">
      <c r="A27" s="208" t="s">
        <v>94</v>
      </c>
      <c r="B27" s="176">
        <f>'26年新历销售'!M18+'26年新历销售'!Q18</f>
        <v>213974</v>
      </c>
      <c r="C27" s="176">
        <f>'26年新历销售'!O18+'26年新历销售'!S18</f>
        <v>4916652.5</v>
      </c>
      <c r="D27" s="235">
        <f t="shared" si="2"/>
        <v>22.9778033779805</v>
      </c>
      <c r="E27" s="227">
        <v>15.44</v>
      </c>
      <c r="F27" s="254" t="s">
        <v>89</v>
      </c>
      <c r="G27" s="204" t="s">
        <v>90</v>
      </c>
      <c r="H27" s="232" t="s">
        <v>91</v>
      </c>
      <c r="I27" s="233" t="s">
        <v>92</v>
      </c>
    </row>
    <row r="28" ht="18" customHeight="1" spans="1:14">
      <c r="A28" s="208" t="s">
        <v>95</v>
      </c>
      <c r="B28" s="176">
        <f>'26年新历销售'!B18</f>
        <v>22229</v>
      </c>
      <c r="C28" s="176">
        <f>'26年新历销售'!D18</f>
        <v>309352</v>
      </c>
      <c r="D28" s="235">
        <f t="shared" si="2"/>
        <v>13.9165954383913</v>
      </c>
      <c r="E28" s="227" t="s">
        <v>115</v>
      </c>
      <c r="F28" s="208" t="s">
        <v>83</v>
      </c>
      <c r="G28" s="176">
        <f>新25年新历销售!F18+新25年新历销售!H18+新25年新历销售!J18</f>
        <v>30040</v>
      </c>
      <c r="H28" s="176">
        <f>新25年新历销售!G18+新25年新历销售!I18+新25年新历销售!K18</f>
        <v>255690</v>
      </c>
      <c r="I28" s="235">
        <f t="shared" ref="I28:I40" si="3">H28/G28</f>
        <v>8.51165113182423</v>
      </c>
    </row>
    <row r="29" ht="18" customHeight="1" spans="1:14">
      <c r="A29" s="208" t="s">
        <v>96</v>
      </c>
      <c r="B29" s="176">
        <f>'26年新历销售'!C18</f>
        <v>262640</v>
      </c>
      <c r="C29" s="176">
        <f>'26年新历销售'!E18</f>
        <v>4592291</v>
      </c>
      <c r="D29" s="235">
        <f t="shared" si="2"/>
        <v>17.4851165092903</v>
      </c>
      <c r="E29" s="228">
        <f>D38-E27</f>
        <v>-0.0262471708218861</v>
      </c>
      <c r="F29" s="208" t="s">
        <v>93</v>
      </c>
      <c r="G29" s="176">
        <f>新25年新历销售!L18+新25年新历销售!P18</f>
        <v>46144</v>
      </c>
      <c r="H29" s="176">
        <f>新25年新历销售!N18+新25年新历销售!R18</f>
        <v>788588</v>
      </c>
      <c r="I29" s="235">
        <f t="shared" si="3"/>
        <v>17.0897191400832</v>
      </c>
    </row>
    <row r="30" ht="18" customHeight="1" spans="1:14">
      <c r="A30" s="208" t="s">
        <v>97</v>
      </c>
      <c r="B30" s="176">
        <f>'26年新历销售'!X18</f>
        <v>5376</v>
      </c>
      <c r="C30" s="176">
        <f>'26年新历销售'!Z18</f>
        <v>69585</v>
      </c>
      <c r="D30" s="235">
        <f t="shared" si="2"/>
        <v>12.9436383928571</v>
      </c>
      <c r="F30" s="208" t="s">
        <v>94</v>
      </c>
      <c r="G30" s="176">
        <f>新25年新历销售!M18+新25年新历销售!Q18</f>
        <v>259778</v>
      </c>
      <c r="H30" s="176">
        <f>新25年新历销售!O18+新25年新历销售!S18</f>
        <v>6154639</v>
      </c>
      <c r="I30" s="235">
        <f t="shared" si="3"/>
        <v>23.6919177143561</v>
      </c>
    </row>
    <row r="31" ht="18" customHeight="1" spans="1:14">
      <c r="A31" s="208" t="s">
        <v>98</v>
      </c>
      <c r="B31" s="176">
        <f>'26年新历销售'!Y18</f>
        <v>83269</v>
      </c>
      <c r="C31" s="176">
        <f>'26年新历销售'!AA18</f>
        <v>1486601</v>
      </c>
      <c r="D31" s="235">
        <f t="shared" si="2"/>
        <v>17.8529945117631</v>
      </c>
      <c r="F31" s="208" t="s">
        <v>95</v>
      </c>
      <c r="G31" s="176">
        <f>新25年新历销售!B18</f>
        <v>4921</v>
      </c>
      <c r="H31" s="176">
        <f>新25年新历销售!D18</f>
        <v>67559</v>
      </c>
      <c r="I31" s="235">
        <f t="shared" si="3"/>
        <v>13.7287136760821</v>
      </c>
    </row>
    <row r="32" ht="18" customHeight="1" spans="1:14">
      <c r="A32" s="208" t="s">
        <v>99</v>
      </c>
      <c r="B32" s="176"/>
      <c r="C32" s="176"/>
      <c r="D32" s="235" t="e">
        <f t="shared" si="2"/>
        <v>#DIV/0!</v>
      </c>
      <c r="F32" s="208" t="s">
        <v>96</v>
      </c>
      <c r="G32" s="176">
        <f>新25年新历销售!C18</f>
        <v>182197</v>
      </c>
      <c r="H32" s="176">
        <f>新25年新历销售!E18</f>
        <v>3184604</v>
      </c>
      <c r="I32" s="235">
        <f t="shared" si="3"/>
        <v>17.4789047020533</v>
      </c>
    </row>
    <row r="33" ht="18" customHeight="1" spans="1:10">
      <c r="A33" s="208" t="s">
        <v>100</v>
      </c>
      <c r="B33" s="176">
        <f>'26年新历销售'!AG18</f>
        <v>103</v>
      </c>
      <c r="C33" s="176">
        <f>'26年新历销售'!AI18</f>
        <v>4934</v>
      </c>
      <c r="D33" s="235">
        <f t="shared" si="2"/>
        <v>47.9029126213592</v>
      </c>
      <c r="F33" s="208" t="s">
        <v>97</v>
      </c>
      <c r="G33" s="176">
        <f>新25年新历销售!X18</f>
        <v>2037</v>
      </c>
      <c r="H33" s="176">
        <f>新25年新历销售!Z18</f>
        <v>25560</v>
      </c>
      <c r="I33" s="235">
        <f t="shared" si="3"/>
        <v>12.5478645066274</v>
      </c>
    </row>
    <row r="34" ht="18" customHeight="1" spans="1:10">
      <c r="A34" s="208" t="s">
        <v>101</v>
      </c>
      <c r="B34" s="176">
        <f>'26年新历销售'!AL18</f>
        <v>1150</v>
      </c>
      <c r="C34" s="176">
        <f>'26年新历销售'!AO18</f>
        <v>44445</v>
      </c>
      <c r="D34" s="235">
        <f t="shared" si="2"/>
        <v>38.6478260869565</v>
      </c>
      <c r="F34" s="208" t="s">
        <v>98</v>
      </c>
      <c r="G34" s="176">
        <f>新25年新历销售!Y18</f>
        <v>80778</v>
      </c>
      <c r="H34" s="176">
        <f>新25年新历销售!AA18</f>
        <v>1129817</v>
      </c>
      <c r="I34" s="235">
        <f t="shared" si="3"/>
        <v>13.9866919210676</v>
      </c>
    </row>
    <row r="35" ht="18" customHeight="1" spans="1:10">
      <c r="A35" s="208" t="s">
        <v>102</v>
      </c>
      <c r="B35" s="176">
        <f>'26年新历销售'!AM18</f>
        <v>742</v>
      </c>
      <c r="C35" s="176">
        <f>'26年新历销售'!AP18</f>
        <v>28935</v>
      </c>
      <c r="D35" s="235">
        <f t="shared" si="2"/>
        <v>38.9959568733154</v>
      </c>
      <c r="F35" s="208" t="s">
        <v>99</v>
      </c>
      <c r="G35" s="176">
        <f>新25年新历销售!AF18</f>
        <v>0</v>
      </c>
      <c r="H35" s="176">
        <f>新25年新历销售!AH18</f>
        <v>0</v>
      </c>
      <c r="I35" s="235" t="e">
        <f t="shared" si="3"/>
        <v>#DIV/0!</v>
      </c>
    </row>
    <row r="36" ht="18" customHeight="1" spans="1:10">
      <c r="A36" s="208" t="s">
        <v>103</v>
      </c>
      <c r="B36" s="176">
        <f>'26年新历销售'!AN18</f>
        <v>3255</v>
      </c>
      <c r="C36" s="176">
        <f>'26年新历销售'!AQ18</f>
        <v>157081</v>
      </c>
      <c r="D36" s="235">
        <f t="shared" si="2"/>
        <v>48.2583717357911</v>
      </c>
      <c r="E36" s="227" t="s">
        <v>116</v>
      </c>
      <c r="F36" s="208" t="s">
        <v>100</v>
      </c>
      <c r="G36" s="176">
        <f>新25年新历销售!AG18</f>
        <v>0</v>
      </c>
      <c r="H36" s="176">
        <f>新25年新历销售!AI18</f>
        <v>0</v>
      </c>
      <c r="I36" s="235" t="e">
        <f t="shared" si="3"/>
        <v>#DIV/0!</v>
      </c>
    </row>
    <row r="37" ht="18" customHeight="1" spans="1:10">
      <c r="A37" s="208" t="s">
        <v>104</v>
      </c>
      <c r="B37" s="176">
        <f>'26年新历销售'!AW18</f>
        <v>34032</v>
      </c>
      <c r="C37" s="176">
        <f>'26年新历销售'!AX18</f>
        <v>358043.21</v>
      </c>
      <c r="D37" s="235">
        <f t="shared" si="2"/>
        <v>10.5207807357781</v>
      </c>
      <c r="E37" s="227">
        <v>19.69</v>
      </c>
      <c r="F37" s="208" t="s">
        <v>104</v>
      </c>
      <c r="G37" s="176">
        <f>新25年新历销售!AW18</f>
        <v>8988</v>
      </c>
      <c r="H37" s="176">
        <f>新25年新历销售!AX18</f>
        <v>63385</v>
      </c>
      <c r="I37" s="235">
        <f t="shared" si="3"/>
        <v>7.05218068535826</v>
      </c>
      <c r="J37" s="227" t="s">
        <v>117</v>
      </c>
    </row>
    <row r="38" ht="18" customHeight="1" spans="1:10">
      <c r="A38" s="208" t="s">
        <v>26</v>
      </c>
      <c r="B38" s="176">
        <f>B26+B28+B30+B32</f>
        <v>57879</v>
      </c>
      <c r="C38" s="176">
        <f>C26+C28+C30+C32</f>
        <v>892132.6</v>
      </c>
      <c r="D38" s="235">
        <f t="shared" si="2"/>
        <v>15.4137528291781</v>
      </c>
      <c r="E38" s="227" t="s">
        <v>118</v>
      </c>
      <c r="F38" s="208" t="s">
        <v>26</v>
      </c>
      <c r="G38" s="176">
        <f>G29+G31+G33+G35</f>
        <v>53102</v>
      </c>
      <c r="H38" s="176">
        <f>H29+H31+H33+H35</f>
        <v>881707</v>
      </c>
      <c r="I38" s="235">
        <f t="shared" si="3"/>
        <v>16.6040262137019</v>
      </c>
      <c r="J38" s="228">
        <f>D38-I38</f>
        <v>-1.19027338452382</v>
      </c>
    </row>
    <row r="39" ht="18" customHeight="1" spans="1:10">
      <c r="A39" s="208" t="s">
        <v>27</v>
      </c>
      <c r="B39" s="176">
        <f>B27+B29+B31+B33</f>
        <v>559986</v>
      </c>
      <c r="C39" s="176">
        <f>C27+C29+C31+C33</f>
        <v>11000478.5</v>
      </c>
      <c r="D39" s="235">
        <f t="shared" si="2"/>
        <v>19.6442027122107</v>
      </c>
      <c r="E39" s="228">
        <f>D39-E37</f>
        <v>-0.0457972877893376</v>
      </c>
      <c r="F39" s="208" t="s">
        <v>27</v>
      </c>
      <c r="G39" s="176">
        <f>G30+G32+G34+G36</f>
        <v>522753</v>
      </c>
      <c r="H39" s="176">
        <f>H30+H32+H34+H36</f>
        <v>10469060</v>
      </c>
      <c r="I39" s="235">
        <f t="shared" si="3"/>
        <v>20.0267812905904</v>
      </c>
      <c r="J39" s="228">
        <f>D39-I39</f>
        <v>-0.382578578379729</v>
      </c>
    </row>
    <row r="40" ht="18" customHeight="1" spans="1:10">
      <c r="A40" s="220" t="s">
        <v>105</v>
      </c>
      <c r="B40" s="221">
        <f>SUM(B26:B36)</f>
        <v>623012</v>
      </c>
      <c r="C40" s="221">
        <f>SUM(C26:C36)</f>
        <v>12123072.1</v>
      </c>
      <c r="D40" s="236">
        <f t="shared" si="2"/>
        <v>19.4588099426656</v>
      </c>
      <c r="F40" s="220" t="s">
        <v>105</v>
      </c>
      <c r="G40" s="221">
        <f>SUM(G29:G36)</f>
        <v>575855</v>
      </c>
      <c r="H40" s="221">
        <f>SUM(H29:H36)</f>
        <v>11350767</v>
      </c>
      <c r="I40" s="236">
        <f t="shared" si="3"/>
        <v>19.7111547177675</v>
      </c>
      <c r="J40" s="228"/>
    </row>
    <row r="41" ht="18" customHeight="1" spans="1:10">
      <c r="A41" s="255" t="s">
        <v>82</v>
      </c>
      <c r="B41" s="256">
        <f>B25+B40+B37</f>
        <v>732340</v>
      </c>
      <c r="C41" s="256">
        <f>C25+C40+C37</f>
        <v>13165100.31</v>
      </c>
      <c r="D41" s="257"/>
      <c r="E41" s="239"/>
      <c r="F41" s="255" t="s">
        <v>82</v>
      </c>
      <c r="G41" s="256">
        <f>G28+G40+G37</f>
        <v>614883</v>
      </c>
      <c r="H41" s="256">
        <f>H28+H40+H37</f>
        <v>11669842</v>
      </c>
      <c r="I41" s="257"/>
    </row>
    <row r="42" ht="23" customHeight="1" spans="1:10">
      <c r="A42" s="238" t="s">
        <v>119</v>
      </c>
      <c r="B42" s="239" t="s">
        <v>107</v>
      </c>
      <c r="C42" s="239" t="s">
        <v>108</v>
      </c>
      <c r="D42" s="239" t="s">
        <v>120</v>
      </c>
      <c r="E42" s="239" t="s">
        <v>121</v>
      </c>
      <c r="F42" s="239" t="s">
        <v>122</v>
      </c>
      <c r="G42" s="239" t="s">
        <v>123</v>
      </c>
      <c r="H42" s="239" t="s">
        <v>124</v>
      </c>
      <c r="I42" s="258" t="s">
        <v>125</v>
      </c>
      <c r="J42" s="259" t="s">
        <v>104</v>
      </c>
    </row>
    <row r="43" ht="24" customHeight="1" spans="1:10">
      <c r="A43" s="243"/>
      <c r="B43" s="244">
        <f>B41-G41</f>
        <v>117457</v>
      </c>
      <c r="C43" s="244">
        <f>C41-H41</f>
        <v>1495258.31</v>
      </c>
      <c r="D43" s="260">
        <f>B25-G28</f>
        <v>45256</v>
      </c>
      <c r="E43" s="244">
        <f>B27+B28-G30+G29</f>
        <v>22569</v>
      </c>
      <c r="F43" s="244">
        <f>B28+B29-G31-G32</f>
        <v>97751</v>
      </c>
      <c r="G43" s="244">
        <f>B30+B31-G33-G34</f>
        <v>5830</v>
      </c>
      <c r="H43" s="244">
        <f>'26年新历销售'!L18+'26年新历销售'!M18</f>
        <v>47492</v>
      </c>
      <c r="I43" s="261">
        <f>'26年新历销售'!N18+'26年新历销售'!O18</f>
        <v>941617.6</v>
      </c>
      <c r="J43" s="262">
        <f>B37-G37</f>
        <v>25044</v>
      </c>
    </row>
    <row r="44" ht="32" customHeight="1" spans="1:10">
      <c r="A44" s="247"/>
      <c r="D44" s="263"/>
    </row>
    <row r="45" ht="18" customHeight="1" spans="1:10">
      <c r="A45" s="229" t="s">
        <v>126</v>
      </c>
      <c r="B45" s="230"/>
      <c r="C45" s="230"/>
      <c r="D45" s="231"/>
      <c r="F45" s="229"/>
      <c r="G45" s="230"/>
      <c r="H45" s="230"/>
      <c r="I45" s="231"/>
    </row>
    <row r="46" customFormat="1" ht="18" customHeight="1" spans="1:10">
      <c r="A46" s="204" t="s">
        <v>89</v>
      </c>
      <c r="B46" s="205" t="s">
        <v>90</v>
      </c>
      <c r="C46" s="232" t="s">
        <v>91</v>
      </c>
      <c r="D46" s="233" t="s">
        <v>92</v>
      </c>
      <c r="E46" s="227"/>
      <c r="F46" s="227"/>
    </row>
    <row r="47" customFormat="1" ht="18" customHeight="1" spans="1:10">
      <c r="A47" s="208" t="s">
        <v>83</v>
      </c>
      <c r="B47" s="176">
        <f>'26年农历销售'!F18+'26年农历销售'!H18+'26年农历销售'!J18</f>
        <v>73838</v>
      </c>
      <c r="C47" s="176">
        <f>'26年农历销售'!G18+'26年农历销售'!I18+'26年农历销售'!K18</f>
        <v>678882</v>
      </c>
      <c r="D47" s="235">
        <f t="shared" ref="D47:D62" si="4">C47/B47</f>
        <v>9.19420894390422</v>
      </c>
      <c r="E47" s="227"/>
      <c r="F47" s="227"/>
    </row>
    <row r="48" customFormat="1" ht="18" customHeight="1" spans="1:10">
      <c r="A48" s="208" t="s">
        <v>93</v>
      </c>
      <c r="B48" s="176">
        <f>'26年农历销售'!L18+'26年农历销售'!P18</f>
        <v>21320</v>
      </c>
      <c r="C48" s="176">
        <f>'26年农历销售'!N18+'26年农历销售'!R18</f>
        <v>360369.6</v>
      </c>
      <c r="D48" s="235">
        <f t="shared" si="4"/>
        <v>16.9028893058161</v>
      </c>
      <c r="E48" s="227"/>
      <c r="F48" s="229" t="s">
        <v>127</v>
      </c>
      <c r="G48" s="230"/>
      <c r="H48" s="230"/>
      <c r="I48" s="231"/>
    </row>
    <row r="49" customFormat="1" ht="18" customHeight="1" spans="1:9">
      <c r="A49" s="208" t="s">
        <v>94</v>
      </c>
      <c r="B49" s="176">
        <f>'26年农历销售'!M18+'26年农历销售'!Q18</f>
        <v>28480</v>
      </c>
      <c r="C49" s="176">
        <f>'26年农历销售'!O18+'26年农历销售'!S18</f>
        <v>692263.5</v>
      </c>
      <c r="D49" s="235">
        <f t="shared" si="4"/>
        <v>24.3070049157303</v>
      </c>
      <c r="E49" s="227"/>
      <c r="F49" s="254" t="s">
        <v>89</v>
      </c>
      <c r="G49" s="204" t="s">
        <v>90</v>
      </c>
      <c r="H49" s="232" t="s">
        <v>91</v>
      </c>
      <c r="I49" s="233" t="s">
        <v>92</v>
      </c>
    </row>
    <row r="50" customFormat="1" ht="18" customHeight="1" spans="1:9">
      <c r="A50" s="208" t="s">
        <v>95</v>
      </c>
      <c r="B50" s="176">
        <f>'26年农历销售'!B18</f>
        <v>17954</v>
      </c>
      <c r="C50" s="176">
        <f>'26年农历销售'!D18</f>
        <v>233724</v>
      </c>
      <c r="D50" s="235">
        <f t="shared" si="4"/>
        <v>13.0179347220675</v>
      </c>
      <c r="E50" s="227"/>
      <c r="F50" s="208" t="s">
        <v>83</v>
      </c>
      <c r="G50" s="176">
        <f>新25年农历销售!F18+新25年农历销售!H18+新25年农历销售!J18</f>
        <v>30000</v>
      </c>
      <c r="H50" s="176">
        <f>新25年农历销售!G18+新25年农历销售!I18+新25年农历销售!K18</f>
        <v>255000</v>
      </c>
      <c r="I50" s="235">
        <f t="shared" ref="I50:I62" si="5">H50/G50</f>
        <v>8.5</v>
      </c>
    </row>
    <row r="51" customFormat="1" ht="18" customHeight="1" spans="1:9">
      <c r="A51" s="208" t="s">
        <v>96</v>
      </c>
      <c r="B51" s="176">
        <f>'26年农历销售'!C18</f>
        <v>124553</v>
      </c>
      <c r="C51" s="176">
        <f>'26年农历销售'!E18</f>
        <v>2015294</v>
      </c>
      <c r="D51" s="235">
        <f t="shared" si="4"/>
        <v>16.1802124396843</v>
      </c>
      <c r="E51" s="227"/>
      <c r="F51" s="208" t="s">
        <v>93</v>
      </c>
      <c r="G51" s="176">
        <f>新25年农历销售!L18+新25年农历销售!P18</f>
        <v>46144</v>
      </c>
      <c r="H51" s="176">
        <f>新25年农历销售!N18+新25年农历销售!R18</f>
        <v>788588</v>
      </c>
      <c r="I51" s="235">
        <f t="shared" si="5"/>
        <v>17.0897191400832</v>
      </c>
    </row>
    <row r="52" customFormat="1" ht="18" customHeight="1" spans="1:9">
      <c r="A52" s="208" t="s">
        <v>97</v>
      </c>
      <c r="B52" s="176">
        <f>'26年农历销售'!X18</f>
        <v>4797</v>
      </c>
      <c r="C52" s="176">
        <f>'26年农历销售'!Z18</f>
        <v>58875</v>
      </c>
      <c r="D52" s="235">
        <f t="shared" si="4"/>
        <v>12.2732958098812</v>
      </c>
      <c r="E52" s="227"/>
      <c r="F52" s="208" t="s">
        <v>94</v>
      </c>
      <c r="G52" s="176">
        <f>新25年农历销售!M18+新25年农历销售!Q18</f>
        <v>119222</v>
      </c>
      <c r="H52" s="176">
        <f>新25年农历销售!O18+新25年农历销售!S18</f>
        <v>3047939</v>
      </c>
      <c r="I52" s="235">
        <f t="shared" si="5"/>
        <v>25.5652396369798</v>
      </c>
    </row>
    <row r="53" customFormat="1" ht="18" customHeight="1" spans="1:9">
      <c r="A53" s="208" t="s">
        <v>98</v>
      </c>
      <c r="B53" s="176">
        <f>'26年农历销售'!Y18</f>
        <v>31070</v>
      </c>
      <c r="C53" s="176">
        <f>'26年农历销售'!AA18</f>
        <v>493875</v>
      </c>
      <c r="D53" s="235">
        <f t="shared" si="4"/>
        <v>15.8955584164789</v>
      </c>
      <c r="E53" s="227"/>
      <c r="F53" s="208" t="s">
        <v>95</v>
      </c>
      <c r="G53" s="176">
        <f>新25年农历销售!B18</f>
        <v>4921</v>
      </c>
      <c r="H53" s="176">
        <f>新25年农历销售!D18</f>
        <v>67559</v>
      </c>
      <c r="I53" s="235">
        <f t="shared" si="5"/>
        <v>13.7287136760821</v>
      </c>
    </row>
    <row r="54" customFormat="1" ht="18" customHeight="1" spans="1:9">
      <c r="A54" s="208" t="s">
        <v>99</v>
      </c>
      <c r="B54" s="176">
        <f>'26年农历销售'!AF18</f>
        <v>0</v>
      </c>
      <c r="C54" s="176">
        <f>'26年农历销售'!AH18</f>
        <v>0</v>
      </c>
      <c r="D54" s="235" t="e">
        <f t="shared" si="4"/>
        <v>#DIV/0!</v>
      </c>
      <c r="E54" s="227"/>
      <c r="F54" s="208" t="s">
        <v>96</v>
      </c>
      <c r="G54" s="176">
        <f>新25年农历销售!C18</f>
        <v>109545</v>
      </c>
      <c r="H54" s="176">
        <f>新25年农历销售!E18</f>
        <v>1752946</v>
      </c>
      <c r="I54" s="235">
        <f t="shared" si="5"/>
        <v>16.0020630790999</v>
      </c>
    </row>
    <row r="55" customFormat="1" ht="18" customHeight="1" spans="1:9">
      <c r="A55" s="208" t="s">
        <v>100</v>
      </c>
      <c r="B55" s="176">
        <f>'26年农历销售'!AG18</f>
        <v>0</v>
      </c>
      <c r="C55" s="176">
        <f>'26年农历销售'!AI18</f>
        <v>120</v>
      </c>
      <c r="D55" s="235" t="e">
        <f t="shared" si="4"/>
        <v>#DIV/0!</v>
      </c>
      <c r="E55" s="227"/>
      <c r="F55" s="208" t="s">
        <v>97</v>
      </c>
      <c r="G55" s="176">
        <f>新25年农历销售!X18</f>
        <v>2037</v>
      </c>
      <c r="H55" s="176">
        <f>新25年农历销售!Z18</f>
        <v>25560</v>
      </c>
      <c r="I55" s="235">
        <f t="shared" si="5"/>
        <v>12.5478645066274</v>
      </c>
    </row>
    <row r="56" customFormat="1" ht="18" customHeight="1" spans="1:9">
      <c r="A56" s="208" t="s">
        <v>101</v>
      </c>
      <c r="B56" s="176">
        <f>'26年农历销售'!AL18</f>
        <v>0</v>
      </c>
      <c r="C56" s="176">
        <f>'26年农历销售'!AO18</f>
        <v>0</v>
      </c>
      <c r="D56" s="235" t="e">
        <f t="shared" si="4"/>
        <v>#DIV/0!</v>
      </c>
      <c r="E56" s="227"/>
      <c r="F56" s="208" t="s">
        <v>98</v>
      </c>
      <c r="G56" s="176">
        <f>新25年农历销售!Y18</f>
        <v>47918</v>
      </c>
      <c r="H56" s="176">
        <f>新25年农历销售!AA18</f>
        <v>579812</v>
      </c>
      <c r="I56" s="235">
        <f t="shared" si="5"/>
        <v>12.100087649735</v>
      </c>
    </row>
    <row r="57" customFormat="1" ht="18" customHeight="1" spans="1:9">
      <c r="A57" s="208" t="s">
        <v>102</v>
      </c>
      <c r="B57" s="176">
        <f>'26年农历销售'!AM18</f>
        <v>7</v>
      </c>
      <c r="C57" s="176">
        <f>'26年农历销售'!AP18</f>
        <v>245</v>
      </c>
      <c r="D57" s="235">
        <f t="shared" si="4"/>
        <v>35</v>
      </c>
      <c r="E57" s="227"/>
      <c r="F57" s="208" t="s">
        <v>99</v>
      </c>
      <c r="G57" s="176">
        <f>新25年农历销售!AF18</f>
        <v>0</v>
      </c>
      <c r="H57" s="176">
        <f>新25年农历销售!AH18</f>
        <v>0</v>
      </c>
      <c r="I57" s="235" t="e">
        <f t="shared" si="5"/>
        <v>#DIV/0!</v>
      </c>
    </row>
    <row r="58" customFormat="1" ht="18" customHeight="1" spans="1:9">
      <c r="A58" s="208" t="s">
        <v>103</v>
      </c>
      <c r="B58" s="176">
        <f>'26年农历销售'!AN18</f>
        <v>181</v>
      </c>
      <c r="C58" s="176">
        <f>'26年农历销售'!AQ18</f>
        <v>6346</v>
      </c>
      <c r="D58" s="235">
        <f t="shared" si="4"/>
        <v>35.060773480663</v>
      </c>
      <c r="E58" s="227"/>
      <c r="F58" s="208" t="s">
        <v>100</v>
      </c>
      <c r="G58" s="176">
        <f>新25年农历销售!AG18</f>
        <v>0</v>
      </c>
      <c r="H58" s="176">
        <f>新25年农历销售!AI18</f>
        <v>0</v>
      </c>
      <c r="I58" s="235" t="e">
        <f t="shared" si="5"/>
        <v>#DIV/0!</v>
      </c>
    </row>
    <row r="59" customFormat="1" ht="18" customHeight="1" spans="1:9">
      <c r="A59" s="208" t="s">
        <v>104</v>
      </c>
      <c r="B59" s="176">
        <f>'26年农历销售'!AW18</f>
        <v>21600</v>
      </c>
      <c r="C59" s="176">
        <f>'26年农历销售'!AX18</f>
        <v>160556</v>
      </c>
      <c r="D59" s="235">
        <f t="shared" si="4"/>
        <v>7.43314814814815</v>
      </c>
      <c r="E59" s="227"/>
      <c r="F59" s="208" t="s">
        <v>104</v>
      </c>
      <c r="G59" s="176">
        <f>新25年农历销售!AW18</f>
        <v>8348</v>
      </c>
      <c r="H59" s="176">
        <f>新25年农历销售!AX18</f>
        <v>54475</v>
      </c>
      <c r="I59" s="235">
        <f t="shared" si="5"/>
        <v>6.52551509343555</v>
      </c>
    </row>
    <row r="60" customFormat="1" ht="18" customHeight="1" spans="1:9">
      <c r="A60" s="208" t="s">
        <v>26</v>
      </c>
      <c r="B60" s="176">
        <f>B48+B50+B52+B54</f>
        <v>44071</v>
      </c>
      <c r="C60" s="176">
        <f>C48+C50+C52+C54</f>
        <v>652968.6</v>
      </c>
      <c r="D60" s="235">
        <f t="shared" si="4"/>
        <v>14.8162873544962</v>
      </c>
      <c r="E60" s="227"/>
      <c r="F60" s="208" t="s">
        <v>26</v>
      </c>
      <c r="G60" s="176">
        <f>G51+G53+G55+G57</f>
        <v>53102</v>
      </c>
      <c r="H60" s="176">
        <f>H51+H53+H55+H57</f>
        <v>881707</v>
      </c>
      <c r="I60" s="235">
        <f t="shared" si="5"/>
        <v>16.6040262137019</v>
      </c>
    </row>
    <row r="61" customFormat="1" ht="18" customHeight="1" spans="1:9">
      <c r="A61" s="208" t="s">
        <v>27</v>
      </c>
      <c r="B61" s="176">
        <f>B49+B51+B53+B55</f>
        <v>184103</v>
      </c>
      <c r="C61" s="176">
        <f>C49+C51+C53+C55</f>
        <v>3201552.5</v>
      </c>
      <c r="D61" s="235">
        <f t="shared" si="4"/>
        <v>17.3900072242169</v>
      </c>
      <c r="E61" s="227"/>
      <c r="F61" s="208" t="s">
        <v>27</v>
      </c>
      <c r="G61" s="176">
        <f>G52+G54+G56+G58</f>
        <v>276685</v>
      </c>
      <c r="H61" s="176">
        <f>H52+H54+H56+H58</f>
        <v>5380697</v>
      </c>
      <c r="I61" s="235">
        <f t="shared" si="5"/>
        <v>19.4470137521008</v>
      </c>
    </row>
    <row r="62" customFormat="1" ht="20.4" spans="1:9">
      <c r="A62" s="220" t="s">
        <v>105</v>
      </c>
      <c r="B62" s="221">
        <f>SUM(B48:B58)</f>
        <v>228362</v>
      </c>
      <c r="C62" s="221">
        <f>SUM(C48:C58)</f>
        <v>3861112.1</v>
      </c>
      <c r="D62" s="236">
        <f t="shared" si="4"/>
        <v>16.907857261716</v>
      </c>
      <c r="E62" s="227"/>
      <c r="F62" s="220" t="s">
        <v>105</v>
      </c>
      <c r="G62" s="221">
        <f>SUM(G51:G58)</f>
        <v>329787</v>
      </c>
      <c r="H62" s="221">
        <f>SUM(H51:H58)</f>
        <v>6262404</v>
      </c>
      <c r="I62" s="236">
        <f t="shared" si="5"/>
        <v>18.9892385084918</v>
      </c>
    </row>
    <row r="63" customFormat="1" ht="20.4" spans="1:9">
      <c r="A63" s="222" t="s">
        <v>82</v>
      </c>
      <c r="B63" s="223">
        <f>B47+B62+B59</f>
        <v>323800</v>
      </c>
      <c r="C63" s="223">
        <f>C47+C62+C59</f>
        <v>4700550.1</v>
      </c>
      <c r="D63" s="237"/>
      <c r="E63" s="227"/>
      <c r="F63" s="255" t="s">
        <v>82</v>
      </c>
      <c r="G63" s="256">
        <f>G50+G62+G59</f>
        <v>368135</v>
      </c>
      <c r="H63" s="256">
        <f>H50+H62+H59</f>
        <v>6571879</v>
      </c>
      <c r="I63" s="257"/>
    </row>
    <row r="64" ht="17.4" spans="1:9">
      <c r="E64" s="239"/>
    </row>
    <row r="65" ht="20" customHeight="1" spans="1:9">
      <c r="A65" s="238" t="s">
        <v>128</v>
      </c>
      <c r="B65" s="239" t="s">
        <v>107</v>
      </c>
      <c r="C65" s="239" t="s">
        <v>108</v>
      </c>
      <c r="D65" s="239" t="s">
        <v>120</v>
      </c>
      <c r="E65" s="239" t="s">
        <v>129</v>
      </c>
      <c r="F65" s="239" t="s">
        <v>122</v>
      </c>
      <c r="G65" s="239" t="s">
        <v>123</v>
      </c>
    </row>
    <row r="66" ht="20" customHeight="1" spans="1:9">
      <c r="A66" s="243"/>
      <c r="B66" s="244">
        <f>B63-G63</f>
        <v>-44335</v>
      </c>
      <c r="C66" s="244">
        <f>C63-H63</f>
        <v>-1871328.9</v>
      </c>
      <c r="D66" s="260">
        <f>B47-G50</f>
        <v>43838</v>
      </c>
      <c r="E66" s="244">
        <f>B49+B48-G51-G52</f>
        <v>-115566</v>
      </c>
      <c r="F66" s="244">
        <f>B50+B51-G53-G54</f>
        <v>28041</v>
      </c>
      <c r="G66" s="244">
        <f>B52+B53-G55-G56</f>
        <v>-14088</v>
      </c>
    </row>
    <row r="67" ht="20" customHeight="1"/>
    <row r="68" ht="20" customHeight="1"/>
    <row r="69" ht="20" customHeight="1" spans="1:9">
      <c r="A69" s="264" t="s">
        <v>130</v>
      </c>
      <c r="B69" s="265"/>
      <c r="C69" s="265"/>
      <c r="F69" s="264" t="s">
        <v>131</v>
      </c>
      <c r="G69" s="265"/>
      <c r="H69" s="265"/>
    </row>
    <row r="70" ht="20.4" spans="1:9">
      <c r="A70" s="232" t="s">
        <v>89</v>
      </c>
      <c r="B70" s="232" t="s">
        <v>90</v>
      </c>
      <c r="C70" s="266" t="s">
        <v>91</v>
      </c>
      <c r="D70" s="267" t="s">
        <v>92</v>
      </c>
      <c r="F70" s="232" t="s">
        <v>89</v>
      </c>
      <c r="G70" s="232" t="s">
        <v>90</v>
      </c>
      <c r="H70" s="266" t="s">
        <v>91</v>
      </c>
      <c r="I70" s="267" t="s">
        <v>92</v>
      </c>
    </row>
    <row r="71" ht="20.4" spans="1:9">
      <c r="A71" s="208" t="s">
        <v>132</v>
      </c>
      <c r="B71" s="176"/>
      <c r="C71" s="268"/>
      <c r="D71" s="269" t="e">
        <f t="shared" ref="D71:D77" si="6">C71/B71</f>
        <v>#DIV/0!</v>
      </c>
      <c r="F71" s="208" t="s">
        <v>132</v>
      </c>
      <c r="G71" s="176"/>
      <c r="H71" s="268"/>
      <c r="I71" s="269" t="e">
        <f t="shared" ref="I71:I77" si="7">H71/G71</f>
        <v>#DIV/0!</v>
      </c>
    </row>
    <row r="72" ht="20.4" spans="1:9">
      <c r="A72" s="208" t="s">
        <v>133</v>
      </c>
      <c r="B72" s="270">
        <v>3006</v>
      </c>
      <c r="C72" s="271">
        <v>22545</v>
      </c>
      <c r="D72" s="269">
        <f t="shared" si="6"/>
        <v>7.5</v>
      </c>
      <c r="F72" s="208" t="s">
        <v>133</v>
      </c>
      <c r="G72" s="176"/>
      <c r="H72" s="272"/>
      <c r="I72" s="269" t="e">
        <f t="shared" si="7"/>
        <v>#DIV/0!</v>
      </c>
    </row>
    <row r="73" ht="20.4" spans="1:9">
      <c r="A73" s="273" t="s">
        <v>134</v>
      </c>
      <c r="B73" s="270">
        <f>915+1004</f>
        <v>1919</v>
      </c>
      <c r="C73" s="271">
        <v>23943</v>
      </c>
      <c r="D73" s="269">
        <f t="shared" si="6"/>
        <v>12.4768108389786</v>
      </c>
      <c r="F73" s="273" t="s">
        <v>134</v>
      </c>
      <c r="G73" s="176"/>
      <c r="H73" s="272"/>
      <c r="I73" s="269" t="e">
        <f t="shared" si="7"/>
        <v>#DIV/0!</v>
      </c>
    </row>
    <row r="74" ht="20.4" spans="1:9">
      <c r="A74" s="274" t="s">
        <v>135</v>
      </c>
      <c r="B74" s="275"/>
      <c r="C74" s="275"/>
      <c r="D74" s="269" t="e">
        <f t="shared" si="6"/>
        <v>#DIV/0!</v>
      </c>
      <c r="F74" s="274" t="s">
        <v>135</v>
      </c>
      <c r="G74" s="176"/>
      <c r="H74" s="272"/>
      <c r="I74" s="269" t="e">
        <f t="shared" si="7"/>
        <v>#DIV/0!</v>
      </c>
    </row>
    <row r="75" ht="20.4" spans="1:9">
      <c r="A75" s="274" t="s">
        <v>136</v>
      </c>
      <c r="B75" s="176"/>
      <c r="C75" s="272"/>
      <c r="D75" s="269" t="e">
        <f t="shared" si="6"/>
        <v>#DIV/0!</v>
      </c>
      <c r="F75" s="274" t="s">
        <v>136</v>
      </c>
      <c r="G75" s="176"/>
      <c r="H75" s="272"/>
      <c r="I75" s="269" t="e">
        <f t="shared" si="7"/>
        <v>#DIV/0!</v>
      </c>
    </row>
    <row r="76" ht="20.4" spans="1:9">
      <c r="A76" s="208" t="s">
        <v>26</v>
      </c>
      <c r="B76" s="176">
        <f>840+1860</f>
        <v>2700</v>
      </c>
      <c r="C76" s="176">
        <f>11566+28800</f>
        <v>40366</v>
      </c>
      <c r="D76" s="269">
        <f t="shared" si="6"/>
        <v>14.9503703703704</v>
      </c>
      <c r="F76" s="208" t="s">
        <v>26</v>
      </c>
      <c r="G76" s="176"/>
      <c r="H76" s="272"/>
      <c r="I76" s="269" t="e">
        <f t="shared" si="7"/>
        <v>#DIV/0!</v>
      </c>
    </row>
    <row r="77" ht="20.4" spans="1:9">
      <c r="A77" s="208" t="s">
        <v>27</v>
      </c>
      <c r="B77" s="176">
        <v>180</v>
      </c>
      <c r="C77" s="176">
        <v>3420</v>
      </c>
      <c r="D77" s="269">
        <f t="shared" si="6"/>
        <v>19</v>
      </c>
      <c r="F77" s="208" t="s">
        <v>27</v>
      </c>
      <c r="G77" s="176"/>
      <c r="H77" s="176"/>
      <c r="I77" s="269" t="e">
        <f t="shared" si="7"/>
        <v>#DIV/0!</v>
      </c>
    </row>
    <row r="78" ht="20.4" spans="1:9">
      <c r="A78" s="255" t="s">
        <v>43</v>
      </c>
      <c r="B78" s="256">
        <f>SUM(B71:B77)</f>
        <v>7805</v>
      </c>
      <c r="C78" s="256">
        <f>SUM(C72:C77)</f>
        <v>90274</v>
      </c>
      <c r="D78" s="269"/>
      <c r="F78" s="255" t="s">
        <v>43</v>
      </c>
      <c r="G78" s="256">
        <f>SUM(G71:G77)</f>
        <v>0</v>
      </c>
      <c r="H78" s="256">
        <f>SUM(H71:H77)</f>
        <v>0</v>
      </c>
      <c r="I78" s="269"/>
    </row>
    <row r="79" ht="30" customHeight="1" spans="1:9">
      <c r="A79" s="276" t="s">
        <v>137</v>
      </c>
      <c r="B79" s="277">
        <v>1432.31</v>
      </c>
      <c r="C79" s="277" t="s">
        <v>138</v>
      </c>
      <c r="D79" s="278">
        <f>(B79+C76)/B76</f>
        <v>15.4808555555556</v>
      </c>
      <c r="F79" s="276" t="s">
        <v>139</v>
      </c>
      <c r="G79" s="277"/>
      <c r="H79" s="277" t="s">
        <v>138</v>
      </c>
      <c r="I79" s="278" t="e">
        <f t="shared" ref="I79:I82" si="8">(G79+H70)/G70</f>
        <v>#VALUE!</v>
      </c>
    </row>
    <row r="80" ht="30" customHeight="1" spans="1:9">
      <c r="A80" s="276" t="s">
        <v>140</v>
      </c>
      <c r="B80" s="277"/>
      <c r="C80" s="277" t="s">
        <v>138</v>
      </c>
      <c r="D80" s="278">
        <f>(B80+C77)/B77</f>
        <v>19</v>
      </c>
      <c r="F80" s="279"/>
      <c r="G80" s="280"/>
      <c r="H80" s="277"/>
      <c r="I80" s="278" t="e">
        <f t="shared" si="8"/>
        <v>#DIV/0!</v>
      </c>
    </row>
    <row r="81" ht="30" customHeight="1" spans="1:9">
      <c r="A81" s="281" t="s">
        <v>141</v>
      </c>
      <c r="B81" s="282">
        <v>1046.6</v>
      </c>
      <c r="C81" s="277" t="s">
        <v>138</v>
      </c>
      <c r="D81" s="278">
        <f t="shared" ref="D81:D84" si="9">(B81+C72)/B72</f>
        <v>7.84817032601464</v>
      </c>
      <c r="F81" s="281" t="s">
        <v>141</v>
      </c>
      <c r="G81" s="282"/>
      <c r="H81" s="277" t="s">
        <v>138</v>
      </c>
      <c r="I81" s="278" t="e">
        <f t="shared" si="8"/>
        <v>#DIV/0!</v>
      </c>
    </row>
    <row r="82" ht="30" customHeight="1" spans="1:9">
      <c r="A82" s="283" t="s">
        <v>142</v>
      </c>
      <c r="B82" s="284">
        <v>687</v>
      </c>
      <c r="C82" s="284" t="s">
        <v>138</v>
      </c>
      <c r="D82" s="278">
        <f t="shared" si="9"/>
        <v>12.8348097967692</v>
      </c>
      <c r="F82" s="283" t="s">
        <v>142</v>
      </c>
      <c r="G82" s="284"/>
      <c r="H82" s="284" t="s">
        <v>138</v>
      </c>
      <c r="I82" s="278" t="e">
        <f t="shared" si="8"/>
        <v>#DIV/0!</v>
      </c>
    </row>
    <row r="83" ht="30" customHeight="1" spans="1:9">
      <c r="A83" s="283" t="s">
        <v>143</v>
      </c>
      <c r="B83" s="284"/>
      <c r="C83" s="284" t="s">
        <v>138</v>
      </c>
      <c r="D83" s="278" t="e">
        <f t="shared" si="9"/>
        <v>#DIV/0!</v>
      </c>
    </row>
    <row r="84" ht="34" customHeight="1" spans="1:9">
      <c r="A84" s="283" t="s">
        <v>144</v>
      </c>
      <c r="B84" s="284"/>
      <c r="C84" s="284" t="s">
        <v>138</v>
      </c>
      <c r="D84" s="278" t="e">
        <f t="shared" si="9"/>
        <v>#DIV/0!</v>
      </c>
    </row>
  </sheetData>
  <mergeCells count="13">
    <mergeCell ref="A1:D1"/>
    <mergeCell ref="F1:I1"/>
    <mergeCell ref="A23:D23"/>
    <mergeCell ref="F23:I23"/>
    <mergeCell ref="F26:I26"/>
    <mergeCell ref="A45:D45"/>
    <mergeCell ref="F45:I45"/>
    <mergeCell ref="F48:I48"/>
    <mergeCell ref="A69:C69"/>
    <mergeCell ref="F69:H69"/>
    <mergeCell ref="A20:A21"/>
    <mergeCell ref="A42:A43"/>
    <mergeCell ref="A65:A66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J14" sqref="J14"/>
    </sheetView>
  </sheetViews>
  <sheetFormatPr defaultColWidth="9" defaultRowHeight="15.6" outlineLevelCol="5"/>
  <cols>
    <col min="1" max="1" width="29.125" style="27" customWidth="1"/>
    <col min="2" max="4" width="17.625" style="27" customWidth="1"/>
    <col min="5" max="5" width="15" style="202" customWidth="1"/>
    <col min="6" max="6" width="16.875" customWidth="1"/>
  </cols>
  <sheetData>
    <row r="1" ht="22.2" spans="1:6">
      <c r="A1" s="203" t="s">
        <v>145</v>
      </c>
      <c r="B1" s="203"/>
      <c r="C1" s="203"/>
      <c r="D1" s="203"/>
      <c r="E1" s="203"/>
    </row>
    <row r="2" ht="20.4" spans="1:6">
      <c r="A2" s="204" t="s">
        <v>89</v>
      </c>
      <c r="B2" s="205" t="s">
        <v>90</v>
      </c>
      <c r="C2" s="206" t="s">
        <v>89</v>
      </c>
      <c r="D2" s="207" t="s">
        <v>146</v>
      </c>
      <c r="E2" s="207" t="s">
        <v>147</v>
      </c>
    </row>
    <row r="3" ht="20.4" spans="1:6">
      <c r="A3" s="208" t="s">
        <v>83</v>
      </c>
      <c r="B3" s="176"/>
      <c r="C3" s="209" t="s">
        <v>148</v>
      </c>
      <c r="D3" s="210" t="s">
        <v>149</v>
      </c>
      <c r="E3" s="211">
        <v>0.026</v>
      </c>
      <c r="F3" s="202" t="s">
        <v>150</v>
      </c>
    </row>
    <row r="4" ht="20.4" spans="1:6">
      <c r="A4" s="208" t="s">
        <v>93</v>
      </c>
      <c r="B4" s="176">
        <f>1796+144</f>
        <v>1940</v>
      </c>
      <c r="C4" s="209"/>
      <c r="D4" s="212" t="s">
        <v>151</v>
      </c>
      <c r="E4" s="213"/>
      <c r="F4" s="202"/>
    </row>
    <row r="5" ht="20.4" spans="1:6">
      <c r="A5" s="208" t="s">
        <v>94</v>
      </c>
      <c r="B5" s="176">
        <f>216+2804+1080</f>
        <v>4100</v>
      </c>
      <c r="C5" s="209"/>
      <c r="D5" s="212"/>
      <c r="E5" s="213"/>
      <c r="F5" s="202"/>
    </row>
    <row r="6" ht="20.4" spans="1:6">
      <c r="A6" s="208" t="s">
        <v>95</v>
      </c>
      <c r="B6" s="176">
        <v>2206</v>
      </c>
      <c r="C6" s="209" t="s">
        <v>152</v>
      </c>
      <c r="D6" s="212" t="s">
        <v>153</v>
      </c>
      <c r="E6" s="214">
        <v>0.9739</v>
      </c>
      <c r="F6" s="202" t="s">
        <v>150</v>
      </c>
    </row>
    <row r="7" ht="20.4" spans="1:6">
      <c r="A7" s="208" t="s">
        <v>96</v>
      </c>
      <c r="B7" s="176">
        <v>17812</v>
      </c>
      <c r="C7" s="215"/>
      <c r="D7" s="216" t="s">
        <v>154</v>
      </c>
      <c r="E7" s="217">
        <v>18.36</v>
      </c>
    </row>
    <row r="8" ht="20.4" spans="1:6">
      <c r="A8" s="208" t="s">
        <v>97</v>
      </c>
      <c r="B8" s="176">
        <v>613</v>
      </c>
      <c r="C8" s="215"/>
      <c r="D8" s="216"/>
      <c r="E8" s="213"/>
    </row>
    <row r="9" ht="20.4" spans="1:6">
      <c r="A9" s="208" t="s">
        <v>98</v>
      </c>
      <c r="B9" s="176">
        <v>3720</v>
      </c>
      <c r="C9" s="218"/>
      <c r="D9" s="218"/>
      <c r="E9" s="219"/>
    </row>
    <row r="10" ht="20.4" spans="1:6">
      <c r="A10" s="208" t="s">
        <v>99</v>
      </c>
      <c r="B10" s="176"/>
      <c r="C10" s="218"/>
      <c r="D10" s="218"/>
      <c r="E10" s="219"/>
    </row>
    <row r="11" ht="20.4" spans="1:6">
      <c r="A11" s="208" t="s">
        <v>100</v>
      </c>
      <c r="B11" s="176"/>
      <c r="C11" s="218"/>
      <c r="D11" s="218"/>
      <c r="E11" s="219"/>
    </row>
    <row r="12" ht="20.4" spans="1:6">
      <c r="A12" s="208" t="s">
        <v>101</v>
      </c>
      <c r="B12" s="176"/>
      <c r="C12" s="218"/>
      <c r="D12" s="218"/>
      <c r="E12" s="219"/>
    </row>
    <row r="13" ht="20.4" spans="1:6">
      <c r="A13" s="208" t="s">
        <v>102</v>
      </c>
      <c r="B13" s="176"/>
      <c r="C13" s="218"/>
      <c r="D13" s="218"/>
      <c r="E13" s="219"/>
    </row>
    <row r="14" ht="20.4" spans="1:6">
      <c r="A14" s="208" t="s">
        <v>103</v>
      </c>
      <c r="B14" s="176"/>
      <c r="C14" s="218"/>
      <c r="D14" s="218"/>
      <c r="E14" s="219"/>
    </row>
    <row r="15" ht="20.4" spans="1:6">
      <c r="A15" s="208" t="s">
        <v>104</v>
      </c>
      <c r="B15" s="176">
        <v>1940</v>
      </c>
      <c r="C15" s="218"/>
      <c r="D15" s="218"/>
      <c r="E15" s="219"/>
    </row>
    <row r="16" ht="20.4" spans="1:6">
      <c r="A16" s="208" t="s">
        <v>26</v>
      </c>
      <c r="B16" s="176">
        <f>B4+B6+B8+B10</f>
        <v>4759</v>
      </c>
      <c r="C16" s="218"/>
      <c r="D16" s="218"/>
      <c r="E16" s="219"/>
    </row>
    <row r="17" ht="20.4" spans="1:5">
      <c r="A17" s="208" t="s">
        <v>27</v>
      </c>
      <c r="B17" s="176">
        <f>B5+B7+B9+B11</f>
        <v>25632</v>
      </c>
      <c r="C17" s="218"/>
      <c r="D17" s="218"/>
      <c r="E17" s="219"/>
    </row>
    <row r="18" ht="20.4" spans="1:5">
      <c r="A18" s="220" t="s">
        <v>105</v>
      </c>
      <c r="B18" s="221">
        <f>SUM(B4:B14)</f>
        <v>30391</v>
      </c>
      <c r="C18" s="218"/>
      <c r="D18" s="218"/>
      <c r="E18" s="219"/>
    </row>
    <row r="19" ht="20.4" spans="1:5">
      <c r="A19" s="222" t="s">
        <v>82</v>
      </c>
      <c r="B19" s="223">
        <f>B3+B18+B15</f>
        <v>32331</v>
      </c>
      <c r="C19" s="224"/>
      <c r="D19" s="224"/>
      <c r="E19" s="225"/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"/>
  <sheetViews>
    <sheetView workbookViewId="0">
      <selection activeCell="K25" sqref="K25"/>
    </sheetView>
  </sheetViews>
  <sheetFormatPr defaultColWidth="9" defaultRowHeight="15.6"/>
  <cols>
    <col min="1" max="1" width="11.25" style="27" customWidth="1"/>
    <col min="2" max="2" width="7.75" style="27" customWidth="1"/>
    <col min="3" max="3" width="10.25" style="27" customWidth="1"/>
    <col min="4" max="4" width="6.375" style="27" customWidth="1"/>
    <col min="5" max="5" width="8.125" style="27" customWidth="1"/>
    <col min="6" max="6" width="6.375" style="27" customWidth="1"/>
    <col min="7" max="7" width="8.375" style="27" customWidth="1"/>
    <col min="8" max="8" width="6.625" style="27" customWidth="1"/>
    <col min="9" max="9" width="8.75" style="27" customWidth="1"/>
    <col min="10" max="10" width="7.5" style="27" customWidth="1"/>
    <col min="11" max="11" width="11.375" style="27" customWidth="1"/>
    <col min="12" max="12" width="8.125" style="27" customWidth="1"/>
    <col min="13" max="13" width="9.625" style="27" customWidth="1"/>
    <col min="14" max="15" width="9.375" style="27" customWidth="1"/>
    <col min="16" max="16" width="8.875" style="28" customWidth="1"/>
    <col min="17" max="17" width="8.875" style="27" customWidth="1"/>
    <col min="18" max="18" width="10.75" style="27" customWidth="1"/>
    <col min="19" max="20" width="8.875" style="28" customWidth="1"/>
  </cols>
  <sheetData>
    <row r="1" customFormat="1" ht="30" customHeight="1" spans="1:31">
      <c r="A1" s="29" t="s">
        <v>155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29"/>
      <c r="R1" s="29"/>
      <c r="S1" s="30"/>
      <c r="T1" s="30"/>
    </row>
    <row r="2" s="24" customFormat="1" ht="27" customHeight="1" spans="1:31">
      <c r="A2" s="31" t="s">
        <v>1</v>
      </c>
      <c r="B2" s="32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 t="s">
        <v>3</v>
      </c>
      <c r="R2" s="33"/>
      <c r="S2" s="34"/>
      <c r="T2" s="35" t="s">
        <v>4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="25" customFormat="1" ht="27" customHeight="1" spans="1:31">
      <c r="A3" s="36"/>
      <c r="B3" s="194" t="s">
        <v>11</v>
      </c>
      <c r="C3" s="38" t="s">
        <v>12</v>
      </c>
      <c r="D3" s="39" t="s">
        <v>13</v>
      </c>
      <c r="E3" s="39"/>
      <c r="F3" s="39"/>
      <c r="G3" s="39"/>
      <c r="H3" s="39"/>
      <c r="I3" s="39"/>
      <c r="J3" s="39"/>
      <c r="K3" s="39"/>
      <c r="L3" s="39"/>
      <c r="M3" s="39"/>
      <c r="N3" s="40" t="s">
        <v>14</v>
      </c>
      <c r="O3" s="40" t="s">
        <v>15</v>
      </c>
      <c r="P3" s="41" t="s">
        <v>16</v>
      </c>
      <c r="Q3" s="195" t="s">
        <v>17</v>
      </c>
      <c r="R3" s="43" t="s">
        <v>12</v>
      </c>
      <c r="S3" s="44" t="s">
        <v>19</v>
      </c>
      <c r="T3" s="45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="25" customFormat="1" ht="36" customHeight="1" spans="1:31">
      <c r="A4" s="46"/>
      <c r="B4" s="194"/>
      <c r="C4" s="38"/>
      <c r="D4" s="194" t="s">
        <v>30</v>
      </c>
      <c r="E4" s="38" t="s">
        <v>12</v>
      </c>
      <c r="F4" s="194" t="s">
        <v>31</v>
      </c>
      <c r="G4" s="38" t="s">
        <v>12</v>
      </c>
      <c r="H4" s="194" t="s">
        <v>32</v>
      </c>
      <c r="I4" s="38" t="s">
        <v>12</v>
      </c>
      <c r="J4" s="194" t="s">
        <v>33</v>
      </c>
      <c r="K4" s="38" t="s">
        <v>12</v>
      </c>
      <c r="L4" s="194" t="s">
        <v>156</v>
      </c>
      <c r="M4" s="38" t="s">
        <v>12</v>
      </c>
      <c r="N4" s="47"/>
      <c r="O4" s="47"/>
      <c r="P4" s="48"/>
      <c r="Q4" s="196"/>
      <c r="R4" s="50"/>
      <c r="S4" s="51"/>
      <c r="T4" s="45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="26" customFormat="1" ht="23" customHeight="1" spans="1:31">
      <c r="A5" s="52" t="s">
        <v>157</v>
      </c>
      <c r="B5" s="53">
        <v>3216</v>
      </c>
      <c r="C5" s="53">
        <v>107606</v>
      </c>
      <c r="D5" s="53"/>
      <c r="E5" s="54"/>
      <c r="F5" s="53"/>
      <c r="G5" s="53"/>
      <c r="H5" s="53"/>
      <c r="I5" s="53"/>
      <c r="J5" s="53"/>
      <c r="K5" s="53"/>
      <c r="L5" s="53"/>
      <c r="M5" s="54"/>
      <c r="N5" s="53">
        <f t="shared" ref="N5:N17" si="0">B5+D5+F5+H5+J5+L5</f>
        <v>3216</v>
      </c>
      <c r="O5" s="53">
        <f t="shared" ref="O5:O17" si="1">C5+E5+G5+I5+K5+M5</f>
        <v>107606</v>
      </c>
      <c r="P5" s="56">
        <f t="shared" ref="P5:P18" si="2">(C5+K5+M5)/(B5+J5+L5)</f>
        <v>33.4595771144279</v>
      </c>
      <c r="Q5" s="53">
        <v>4064</v>
      </c>
      <c r="R5" s="53">
        <v>63939</v>
      </c>
      <c r="S5" s="57">
        <f t="shared" ref="S5:S18" si="3">R5/Q5</f>
        <v>15.7330216535433</v>
      </c>
      <c r="T5" s="58">
        <f t="shared" ref="T5:T18" si="4">(C5+K5+M5+R5)/(B5+J5+L5+Q5)</f>
        <v>23.5638736263736</v>
      </c>
    </row>
    <row r="6" s="26" customFormat="1" ht="23" customHeight="1" spans="1:31">
      <c r="A6" s="52" t="s">
        <v>38</v>
      </c>
      <c r="B6" s="53">
        <f>42113-32020</f>
        <v>10093</v>
      </c>
      <c r="C6" s="53">
        <f>182605-9420</f>
        <v>173185</v>
      </c>
      <c r="D6" s="53">
        <v>15480</v>
      </c>
      <c r="E6" s="54">
        <v>93192.7</v>
      </c>
      <c r="F6" s="53">
        <v>360</v>
      </c>
      <c r="G6" s="53">
        <v>1320</v>
      </c>
      <c r="H6" s="53">
        <f>720+168</f>
        <v>888</v>
      </c>
      <c r="I6" s="53">
        <v>7380</v>
      </c>
      <c r="J6" s="53">
        <v>32020</v>
      </c>
      <c r="K6" s="53">
        <v>798856</v>
      </c>
      <c r="L6" s="53">
        <v>0</v>
      </c>
      <c r="M6" s="54">
        <v>0</v>
      </c>
      <c r="N6" s="53">
        <f t="shared" si="0"/>
        <v>58841</v>
      </c>
      <c r="O6" s="53">
        <f t="shared" si="1"/>
        <v>1073933.7</v>
      </c>
      <c r="P6" s="56">
        <f t="shared" si="2"/>
        <v>23.0817324816565</v>
      </c>
      <c r="Q6" s="53">
        <v>10854</v>
      </c>
      <c r="R6" s="53">
        <v>165099</v>
      </c>
      <c r="S6" s="57">
        <f t="shared" si="3"/>
        <v>15.2108899944721</v>
      </c>
      <c r="T6" s="58">
        <f t="shared" si="4"/>
        <v>21.4688390884891</v>
      </c>
    </row>
    <row r="7" s="26" customFormat="1" ht="23" customHeight="1" spans="1:31">
      <c r="A7" s="52" t="s">
        <v>39</v>
      </c>
      <c r="B7" s="53">
        <v>15916</v>
      </c>
      <c r="C7" s="53">
        <v>312086.5</v>
      </c>
      <c r="D7" s="53"/>
      <c r="E7" s="54"/>
      <c r="F7" s="53">
        <v>7002</v>
      </c>
      <c r="G7" s="53">
        <v>59517</v>
      </c>
      <c r="H7" s="53">
        <v>19302</v>
      </c>
      <c r="I7" s="53">
        <v>219486</v>
      </c>
      <c r="J7" s="53">
        <v>33636</v>
      </c>
      <c r="K7" s="53">
        <v>832924</v>
      </c>
      <c r="L7" s="53">
        <v>600</v>
      </c>
      <c r="M7" s="54">
        <v>16440</v>
      </c>
      <c r="N7" s="53">
        <f t="shared" si="0"/>
        <v>76456</v>
      </c>
      <c r="O7" s="53">
        <f t="shared" si="1"/>
        <v>1440453.5</v>
      </c>
      <c r="P7" s="56">
        <f t="shared" si="2"/>
        <v>23.1586078321901</v>
      </c>
      <c r="Q7" s="53">
        <v>12588</v>
      </c>
      <c r="R7" s="53">
        <v>186891</v>
      </c>
      <c r="S7" s="57">
        <f t="shared" si="3"/>
        <v>14.8467588179218</v>
      </c>
      <c r="T7" s="58">
        <f t="shared" si="4"/>
        <v>21.4909387950271</v>
      </c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</row>
    <row r="8" s="26" customFormat="1" ht="23" customHeight="1" spans="1:31">
      <c r="A8" s="52" t="s">
        <v>40</v>
      </c>
      <c r="B8" s="53">
        <v>15352</v>
      </c>
      <c r="C8" s="53">
        <v>254371</v>
      </c>
      <c r="D8" s="53"/>
      <c r="E8" s="54"/>
      <c r="F8" s="53"/>
      <c r="G8" s="53"/>
      <c r="H8" s="53">
        <v>660</v>
      </c>
      <c r="I8" s="53">
        <v>12540</v>
      </c>
      <c r="J8" s="53">
        <f>33984+16826</f>
        <v>50810</v>
      </c>
      <c r="K8" s="53">
        <v>1240509</v>
      </c>
      <c r="L8" s="53">
        <v>1034</v>
      </c>
      <c r="M8" s="54">
        <v>41545</v>
      </c>
      <c r="N8" s="53">
        <f t="shared" si="0"/>
        <v>67856</v>
      </c>
      <c r="O8" s="53">
        <f t="shared" si="1"/>
        <v>1548965</v>
      </c>
      <c r="P8" s="56">
        <f t="shared" si="2"/>
        <v>22.8648282635871</v>
      </c>
      <c r="Q8" s="53">
        <v>15897</v>
      </c>
      <c r="R8" s="53">
        <v>190386</v>
      </c>
      <c r="S8" s="57">
        <f t="shared" si="3"/>
        <v>11.9762219286658</v>
      </c>
      <c r="T8" s="58">
        <f t="shared" si="4"/>
        <v>20.7816663256833</v>
      </c>
    </row>
    <row r="9" s="26" customFormat="1" ht="23" customHeight="1" spans="1:31">
      <c r="A9" s="52" t="s">
        <v>158</v>
      </c>
      <c r="B9" s="53">
        <v>14125</v>
      </c>
      <c r="C9" s="53">
        <v>209629</v>
      </c>
      <c r="D9" s="53"/>
      <c r="E9" s="54"/>
      <c r="F9" s="53"/>
      <c r="G9" s="53"/>
      <c r="H9" s="53"/>
      <c r="I9" s="53"/>
      <c r="J9" s="53">
        <v>40516</v>
      </c>
      <c r="K9" s="53">
        <v>976062</v>
      </c>
      <c r="L9" s="53"/>
      <c r="M9" s="54"/>
      <c r="N9" s="53">
        <f t="shared" si="0"/>
        <v>54641</v>
      </c>
      <c r="O9" s="53">
        <f t="shared" si="1"/>
        <v>1185691</v>
      </c>
      <c r="P9" s="56">
        <f t="shared" si="2"/>
        <v>21.6996577661463</v>
      </c>
      <c r="Q9" s="53">
        <v>8410</v>
      </c>
      <c r="R9" s="53">
        <v>108106</v>
      </c>
      <c r="S9" s="57">
        <f t="shared" si="3"/>
        <v>12.8544589774078</v>
      </c>
      <c r="T9" s="58">
        <f t="shared" si="4"/>
        <v>20.519849011118</v>
      </c>
    </row>
    <row r="10" s="26" customFormat="1" ht="23" customHeight="1" spans="1:31">
      <c r="A10" s="52" t="s">
        <v>159</v>
      </c>
      <c r="B10" s="53">
        <v>12335</v>
      </c>
      <c r="C10" s="53">
        <v>191916</v>
      </c>
      <c r="D10" s="53"/>
      <c r="E10" s="54"/>
      <c r="F10" s="53"/>
      <c r="G10" s="53"/>
      <c r="H10" s="53"/>
      <c r="I10" s="53"/>
      <c r="J10" s="53">
        <v>37822</v>
      </c>
      <c r="K10" s="53">
        <f>820869+34284+972</f>
        <v>856125</v>
      </c>
      <c r="L10" s="53"/>
      <c r="M10" s="54"/>
      <c r="N10" s="53">
        <f t="shared" si="0"/>
        <v>50157</v>
      </c>
      <c r="O10" s="53">
        <f t="shared" si="1"/>
        <v>1048041</v>
      </c>
      <c r="P10" s="56">
        <f t="shared" si="2"/>
        <v>20.8952090436031</v>
      </c>
      <c r="Q10" s="53">
        <v>7769</v>
      </c>
      <c r="R10" s="53">
        <v>109402.1</v>
      </c>
      <c r="S10" s="57">
        <f t="shared" si="3"/>
        <v>14.0818766894066</v>
      </c>
      <c r="T10" s="58">
        <f t="shared" si="4"/>
        <v>19.9814090391189</v>
      </c>
    </row>
    <row r="11" s="193" customFormat="1" ht="23" customHeight="1" spans="1:31">
      <c r="A11" s="52" t="s">
        <v>160</v>
      </c>
      <c r="B11" s="197">
        <v>13888</v>
      </c>
      <c r="C11" s="197">
        <v>237251</v>
      </c>
      <c r="D11" s="197"/>
      <c r="E11" s="198"/>
      <c r="F11" s="197"/>
      <c r="G11" s="197"/>
      <c r="H11" s="197"/>
      <c r="I11" s="197"/>
      <c r="J11" s="197">
        <v>94200</v>
      </c>
      <c r="K11" s="199">
        <v>2201726.5</v>
      </c>
      <c r="L11" s="197"/>
      <c r="M11" s="198"/>
      <c r="N11" s="197">
        <f t="shared" si="0"/>
        <v>108088</v>
      </c>
      <c r="O11" s="197">
        <f t="shared" si="1"/>
        <v>2438977.5</v>
      </c>
      <c r="P11" s="199">
        <f t="shared" si="2"/>
        <v>22.5647389164385</v>
      </c>
      <c r="Q11" s="197">
        <v>11028</v>
      </c>
      <c r="R11" s="197">
        <v>140590</v>
      </c>
      <c r="S11" s="200">
        <f t="shared" si="3"/>
        <v>12.7484584693507</v>
      </c>
      <c r="T11" s="201">
        <f t="shared" si="4"/>
        <v>21.6559278350515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="26" customFormat="1" ht="23" customHeight="1" spans="1:31">
      <c r="A12" s="52" t="s">
        <v>161</v>
      </c>
      <c r="B12" s="53">
        <v>12886</v>
      </c>
      <c r="C12" s="53">
        <v>236220</v>
      </c>
      <c r="D12" s="53"/>
      <c r="E12" s="54"/>
      <c r="F12" s="53"/>
      <c r="G12" s="53"/>
      <c r="H12" s="53"/>
      <c r="I12" s="53"/>
      <c r="J12" s="53">
        <v>54036</v>
      </c>
      <c r="K12" s="53">
        <v>1292695</v>
      </c>
      <c r="L12" s="53"/>
      <c r="M12" s="54"/>
      <c r="N12" s="53">
        <f t="shared" si="0"/>
        <v>66922</v>
      </c>
      <c r="O12" s="53">
        <f t="shared" si="1"/>
        <v>1528915</v>
      </c>
      <c r="P12" s="56">
        <f t="shared" si="2"/>
        <v>22.8462239622247</v>
      </c>
      <c r="Q12" s="53">
        <v>10016</v>
      </c>
      <c r="R12" s="53">
        <f>139870+90</f>
        <v>139960</v>
      </c>
      <c r="S12" s="57">
        <f t="shared" si="3"/>
        <v>13.973642172524</v>
      </c>
      <c r="T12" s="58">
        <f t="shared" si="4"/>
        <v>21.6911669136188</v>
      </c>
    </row>
    <row r="13" s="26" customFormat="1" ht="23" customHeight="1" spans="1:31">
      <c r="A13" s="52" t="s">
        <v>162</v>
      </c>
      <c r="B13" s="53">
        <v>17859</v>
      </c>
      <c r="C13" s="53">
        <v>344955</v>
      </c>
      <c r="D13" s="53"/>
      <c r="E13" s="54"/>
      <c r="F13" s="53"/>
      <c r="G13" s="53"/>
      <c r="H13" s="53"/>
      <c r="I13" s="53"/>
      <c r="J13" s="53">
        <v>5540</v>
      </c>
      <c r="K13" s="53">
        <v>130092</v>
      </c>
      <c r="L13" s="53">
        <v>20224</v>
      </c>
      <c r="M13" s="55">
        <v>558530</v>
      </c>
      <c r="N13" s="53">
        <f t="shared" si="0"/>
        <v>43623</v>
      </c>
      <c r="O13" s="53">
        <f t="shared" si="1"/>
        <v>1033577</v>
      </c>
      <c r="P13" s="56">
        <f t="shared" si="2"/>
        <v>23.6933956857621</v>
      </c>
      <c r="Q13" s="53">
        <v>10083</v>
      </c>
      <c r="R13" s="53">
        <v>151685</v>
      </c>
      <c r="S13" s="57">
        <f t="shared" si="3"/>
        <v>15.0436378062085</v>
      </c>
      <c r="T13" s="58">
        <f t="shared" si="4"/>
        <v>22.0694522027334</v>
      </c>
    </row>
    <row r="14" s="26" customFormat="1" ht="23" customHeight="1" spans="1:31">
      <c r="A14" s="52" t="s">
        <v>163</v>
      </c>
      <c r="B14" s="53">
        <v>23369</v>
      </c>
      <c r="C14" s="53">
        <v>433705</v>
      </c>
      <c r="D14" s="53"/>
      <c r="E14" s="54"/>
      <c r="F14" s="53"/>
      <c r="G14" s="53"/>
      <c r="H14" s="53"/>
      <c r="I14" s="53"/>
      <c r="J14" s="53">
        <v>61462</v>
      </c>
      <c r="K14" s="53">
        <v>1510314</v>
      </c>
      <c r="L14" s="53">
        <v>22227</v>
      </c>
      <c r="M14" s="54">
        <v>554905</v>
      </c>
      <c r="N14" s="53">
        <f t="shared" si="0"/>
        <v>107058</v>
      </c>
      <c r="O14" s="53">
        <f t="shared" si="1"/>
        <v>2498924</v>
      </c>
      <c r="P14" s="56">
        <f t="shared" si="2"/>
        <v>23.3417773543313</v>
      </c>
      <c r="Q14" s="53">
        <v>12193</v>
      </c>
      <c r="R14" s="53">
        <v>184394</v>
      </c>
      <c r="S14" s="57">
        <f t="shared" si="3"/>
        <v>15.1229393914541</v>
      </c>
      <c r="T14" s="58">
        <f t="shared" si="4"/>
        <v>22.5014297574025</v>
      </c>
    </row>
    <row r="15" s="26" customFormat="1" ht="23" customHeight="1" spans="1:31">
      <c r="A15" s="52" t="s">
        <v>164</v>
      </c>
      <c r="B15" s="53">
        <v>33271</v>
      </c>
      <c r="C15" s="53">
        <f>699829+612</f>
        <v>700441</v>
      </c>
      <c r="D15" s="53"/>
      <c r="E15" s="54"/>
      <c r="F15" s="53"/>
      <c r="G15" s="53"/>
      <c r="H15" s="53"/>
      <c r="I15" s="53"/>
      <c r="J15" s="53">
        <f>15262</f>
        <v>15262</v>
      </c>
      <c r="K15" s="53">
        <f>356234</f>
        <v>356234</v>
      </c>
      <c r="L15" s="53">
        <v>1328</v>
      </c>
      <c r="M15" s="55">
        <v>29936</v>
      </c>
      <c r="N15" s="53">
        <f t="shared" si="0"/>
        <v>49861</v>
      </c>
      <c r="O15" s="53">
        <f t="shared" si="1"/>
        <v>1086611</v>
      </c>
      <c r="P15" s="56">
        <f t="shared" si="2"/>
        <v>21.7928039951064</v>
      </c>
      <c r="Q15" s="53">
        <v>11656</v>
      </c>
      <c r="R15" s="53">
        <v>193940</v>
      </c>
      <c r="S15" s="57">
        <f t="shared" si="3"/>
        <v>16.6386410432395</v>
      </c>
      <c r="T15" s="58">
        <f t="shared" si="4"/>
        <v>20.8162134044248</v>
      </c>
      <c r="U15"/>
      <c r="V15"/>
      <c r="W15"/>
      <c r="X15"/>
      <c r="Y15"/>
      <c r="Z15"/>
      <c r="AA15"/>
      <c r="AB15"/>
      <c r="AC15"/>
      <c r="AD15"/>
      <c r="AE15"/>
    </row>
    <row r="16" s="26" customFormat="1" ht="23" customHeight="1" spans="1:31">
      <c r="A16" s="52" t="s">
        <v>36</v>
      </c>
      <c r="B16" s="53">
        <v>72387</v>
      </c>
      <c r="C16" s="53">
        <v>1427651</v>
      </c>
      <c r="D16" s="53"/>
      <c r="E16" s="54"/>
      <c r="F16" s="53"/>
      <c r="G16" s="53"/>
      <c r="H16" s="53">
        <v>40</v>
      </c>
      <c r="I16" s="53">
        <v>690</v>
      </c>
      <c r="J16" s="53">
        <v>4992</v>
      </c>
      <c r="K16" s="53">
        <v>115444</v>
      </c>
      <c r="L16" s="53">
        <v>118764</v>
      </c>
      <c r="M16" s="55">
        <v>2655256</v>
      </c>
      <c r="N16" s="53">
        <f t="shared" si="0"/>
        <v>196183</v>
      </c>
      <c r="O16" s="53">
        <f t="shared" si="1"/>
        <v>4199041</v>
      </c>
      <c r="P16" s="56">
        <f t="shared" si="2"/>
        <v>21.4045415844562</v>
      </c>
      <c r="Q16" s="53">
        <v>32831</v>
      </c>
      <c r="R16" s="53">
        <v>555715</v>
      </c>
      <c r="S16" s="57">
        <f t="shared" si="3"/>
        <v>16.9265328500503</v>
      </c>
      <c r="T16" s="58">
        <f t="shared" si="4"/>
        <v>20.7624708482186</v>
      </c>
      <c r="U16"/>
      <c r="V16"/>
      <c r="W16"/>
      <c r="X16"/>
      <c r="Y16"/>
      <c r="Z16"/>
      <c r="AA16"/>
      <c r="AB16"/>
      <c r="AC16"/>
      <c r="AD16"/>
      <c r="AE16"/>
    </row>
    <row r="17" s="26" customFormat="1" ht="23" customHeight="1" spans="1:31">
      <c r="A17" s="52"/>
      <c r="B17" s="53"/>
      <c r="C17" s="53"/>
      <c r="D17" s="53"/>
      <c r="E17" s="54"/>
      <c r="F17" s="53"/>
      <c r="G17" s="53"/>
      <c r="H17" s="53"/>
      <c r="I17" s="53"/>
      <c r="J17" s="53"/>
      <c r="K17" s="53"/>
      <c r="L17" s="53"/>
      <c r="M17" s="54"/>
      <c r="N17" s="53">
        <f t="shared" si="0"/>
        <v>0</v>
      </c>
      <c r="O17" s="53">
        <f t="shared" si="1"/>
        <v>0</v>
      </c>
      <c r="P17" s="56" t="e">
        <f t="shared" si="2"/>
        <v>#DIV/0!</v>
      </c>
      <c r="Q17" s="53"/>
      <c r="R17" s="53"/>
      <c r="S17" s="57" t="e">
        <f t="shared" si="3"/>
        <v>#DIV/0!</v>
      </c>
      <c r="T17" s="58" t="e">
        <f t="shared" si="4"/>
        <v>#DIV/0!</v>
      </c>
      <c r="U17"/>
      <c r="V17"/>
      <c r="W17"/>
      <c r="X17"/>
      <c r="Y17"/>
      <c r="Z17"/>
      <c r="AA17"/>
      <c r="AB17"/>
      <c r="AC17"/>
      <c r="AD17"/>
      <c r="AE17"/>
    </row>
    <row r="18" s="26" customFormat="1" ht="29" customHeight="1" spans="1:31">
      <c r="A18" s="59" t="s">
        <v>43</v>
      </c>
      <c r="B18" s="60">
        <f>SUM(B5:B17)</f>
        <v>244697</v>
      </c>
      <c r="C18" s="60">
        <f t="shared" ref="C18:O18" si="5">SUM(C5:C17)</f>
        <v>4629016.5</v>
      </c>
      <c r="D18" s="60">
        <f t="shared" si="5"/>
        <v>15480</v>
      </c>
      <c r="E18" s="60">
        <f t="shared" si="5"/>
        <v>93192.7</v>
      </c>
      <c r="F18" s="60">
        <f t="shared" si="5"/>
        <v>7362</v>
      </c>
      <c r="G18" s="60">
        <f t="shared" si="5"/>
        <v>60837</v>
      </c>
      <c r="H18" s="60">
        <f t="shared" si="5"/>
        <v>20890</v>
      </c>
      <c r="I18" s="60">
        <f t="shared" si="5"/>
        <v>240096</v>
      </c>
      <c r="J18" s="60">
        <f t="shared" si="5"/>
        <v>430296</v>
      </c>
      <c r="K18" s="60">
        <f t="shared" si="5"/>
        <v>10310981.5</v>
      </c>
      <c r="L18" s="60">
        <f t="shared" si="5"/>
        <v>164177</v>
      </c>
      <c r="M18" s="60">
        <f t="shared" si="5"/>
        <v>3856612</v>
      </c>
      <c r="N18" s="60">
        <f t="shared" si="5"/>
        <v>882902</v>
      </c>
      <c r="O18" s="60">
        <f t="shared" si="5"/>
        <v>19190735.7</v>
      </c>
      <c r="P18" s="62">
        <f t="shared" si="2"/>
        <v>22.3990490603811</v>
      </c>
      <c r="Q18" s="60">
        <f>SUM(Q5:Q17)</f>
        <v>147389</v>
      </c>
      <c r="R18" s="60">
        <f>SUM(R5:R17)</f>
        <v>2190107.1</v>
      </c>
      <c r="S18" s="63">
        <f t="shared" si="3"/>
        <v>14.8593660313863</v>
      </c>
      <c r="T18" s="64">
        <f t="shared" si="4"/>
        <v>21.2726426904017</v>
      </c>
      <c r="U18"/>
      <c r="V18"/>
      <c r="W18"/>
      <c r="X18"/>
      <c r="Y18"/>
      <c r="Z18"/>
      <c r="AA18"/>
      <c r="AB18"/>
      <c r="AC18"/>
      <c r="AD18"/>
      <c r="AE18"/>
    </row>
    <row r="23" spans="1:31">
      <c r="O23" s="27">
        <f>N18+Q18</f>
        <v>1030291</v>
      </c>
    </row>
  </sheetData>
  <mergeCells count="14">
    <mergeCell ref="A1:S1"/>
    <mergeCell ref="B2:P2"/>
    <mergeCell ref="Q2:S2"/>
    <mergeCell ref="D3:M3"/>
    <mergeCell ref="A2:A4"/>
    <mergeCell ref="B3:B4"/>
    <mergeCell ref="C3:C4"/>
    <mergeCell ref="N3:N4"/>
    <mergeCell ref="O3:O4"/>
    <mergeCell ref="P3:P4"/>
    <mergeCell ref="Q3:Q4"/>
    <mergeCell ref="R3:R4"/>
    <mergeCell ref="S3:S4"/>
    <mergeCell ref="T2:T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workbookViewId="0">
      <selection activeCell="V6" sqref="V6"/>
    </sheetView>
  </sheetViews>
  <sheetFormatPr defaultColWidth="9" defaultRowHeight="15.6"/>
  <cols>
    <col min="1" max="1" width="11.5" style="27" customWidth="1"/>
    <col min="2" max="2" width="7.75" style="27" customWidth="1"/>
    <col min="3" max="3" width="10.375" style="27" customWidth="1"/>
    <col min="4" max="4" width="6.375" style="27" customWidth="1"/>
    <col min="5" max="5" width="8.125" style="27" customWidth="1"/>
    <col min="6" max="6" width="6.375" style="27" customWidth="1"/>
    <col min="7" max="7" width="7.875" style="27" customWidth="1"/>
    <col min="8" max="8" width="6.625" style="27" customWidth="1"/>
    <col min="9" max="9" width="8" style="27" customWidth="1"/>
    <col min="10" max="10" width="7.5" style="27" customWidth="1"/>
    <col min="11" max="11" width="11.375" style="27" customWidth="1"/>
    <col min="12" max="12" width="8.125" style="27" customWidth="1"/>
    <col min="13" max="13" width="11" style="27" customWidth="1"/>
    <col min="14" max="15" width="9.375" style="27" customWidth="1"/>
    <col min="16" max="16" width="8.875" style="28" customWidth="1"/>
    <col min="17" max="17" width="8.875" style="27" customWidth="1"/>
    <col min="18" max="18" width="10.75" style="27" customWidth="1"/>
    <col min="19" max="20" width="8.875" style="28" customWidth="1"/>
  </cols>
  <sheetData>
    <row r="1" ht="30" customHeight="1" spans="1:20">
      <c r="A1" s="29" t="s">
        <v>165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29"/>
      <c r="R1" s="29"/>
      <c r="S1" s="30"/>
      <c r="T1" s="30"/>
    </row>
    <row r="2" s="24" customFormat="1" ht="27" customHeight="1" spans="1:20">
      <c r="A2" s="31" t="s">
        <v>1</v>
      </c>
      <c r="B2" s="32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 t="s">
        <v>3</v>
      </c>
      <c r="R2" s="33"/>
      <c r="S2" s="34"/>
      <c r="T2" s="35" t="s">
        <v>4</v>
      </c>
    </row>
    <row r="3" s="25" customFormat="1" ht="27" customHeight="1" spans="1:20">
      <c r="A3" s="36"/>
      <c r="B3" s="37" t="s">
        <v>11</v>
      </c>
      <c r="C3" s="38" t="s">
        <v>12</v>
      </c>
      <c r="D3" s="39" t="s">
        <v>13</v>
      </c>
      <c r="E3" s="39"/>
      <c r="F3" s="39"/>
      <c r="G3" s="39"/>
      <c r="H3" s="39"/>
      <c r="I3" s="39"/>
      <c r="J3" s="39"/>
      <c r="K3" s="39"/>
      <c r="L3" s="39"/>
      <c r="M3" s="39"/>
      <c r="N3" s="40" t="s">
        <v>14</v>
      </c>
      <c r="O3" s="40" t="s">
        <v>15</v>
      </c>
      <c r="P3" s="41" t="s">
        <v>16</v>
      </c>
      <c r="Q3" s="42" t="s">
        <v>17</v>
      </c>
      <c r="R3" s="43" t="s">
        <v>12</v>
      </c>
      <c r="S3" s="44" t="s">
        <v>19</v>
      </c>
      <c r="T3" s="45"/>
    </row>
    <row r="4" s="25" customFormat="1" ht="36" customHeight="1" spans="1:20">
      <c r="A4" s="46"/>
      <c r="B4" s="37"/>
      <c r="C4" s="38"/>
      <c r="D4" s="37" t="s">
        <v>30</v>
      </c>
      <c r="E4" s="38" t="s">
        <v>12</v>
      </c>
      <c r="F4" s="37" t="s">
        <v>31</v>
      </c>
      <c r="G4" s="38" t="s">
        <v>12</v>
      </c>
      <c r="H4" s="37" t="s">
        <v>32</v>
      </c>
      <c r="I4" s="38" t="s">
        <v>12</v>
      </c>
      <c r="J4" s="37" t="s">
        <v>33</v>
      </c>
      <c r="K4" s="38" t="s">
        <v>12</v>
      </c>
      <c r="L4" s="37" t="s">
        <v>156</v>
      </c>
      <c r="M4" s="38" t="s">
        <v>12</v>
      </c>
      <c r="N4" s="47"/>
      <c r="O4" s="47"/>
      <c r="P4" s="48"/>
      <c r="Q4" s="49"/>
      <c r="R4" s="50"/>
      <c r="S4" s="51"/>
      <c r="T4" s="45"/>
    </row>
    <row r="5" s="26" customFormat="1" ht="23" customHeight="1" spans="1:20">
      <c r="A5" s="52" t="s">
        <v>36</v>
      </c>
      <c r="B5" s="53">
        <v>69157</v>
      </c>
      <c r="C5" s="53">
        <v>1913341</v>
      </c>
      <c r="D5" s="53"/>
      <c r="E5" s="54"/>
      <c r="F5" s="53"/>
      <c r="G5" s="53"/>
      <c r="H5" s="53">
        <v>400</v>
      </c>
      <c r="I5" s="53">
        <v>7500</v>
      </c>
      <c r="J5" s="53"/>
      <c r="K5" s="53"/>
      <c r="L5" s="53">
        <v>130548</v>
      </c>
      <c r="M5" s="55">
        <v>2854381.25</v>
      </c>
      <c r="N5" s="53">
        <f t="shared" ref="N5:N16" si="0">B5+D5+F5+H5+J5+L5</f>
        <v>200105</v>
      </c>
      <c r="O5" s="53">
        <f t="shared" ref="O5:O16" si="1">C5+E5+G5+I5+K5+M5</f>
        <v>4775222.25</v>
      </c>
      <c r="P5" s="56">
        <f t="shared" ref="P5:P17" si="2">(C5+K5+M5)/(B5+J5+L5)</f>
        <v>23.8738251420846</v>
      </c>
      <c r="Q5" s="53">
        <v>30279</v>
      </c>
      <c r="R5" s="53">
        <v>715123</v>
      </c>
      <c r="S5" s="57">
        <f t="shared" ref="S5:S17" si="3">R5/Q5</f>
        <v>23.6177879058093</v>
      </c>
      <c r="T5" s="58">
        <f t="shared" ref="T5:T17" si="4">(C5+K5+M5+R5)/(B5+J5+L5+Q5)</f>
        <v>23.8401160515514</v>
      </c>
    </row>
    <row r="6" s="26" customFormat="1" ht="23" customHeight="1" spans="1:20">
      <c r="A6" s="52" t="s">
        <v>37</v>
      </c>
      <c r="B6" s="53">
        <v>24025</v>
      </c>
      <c r="C6" s="53">
        <v>533529</v>
      </c>
      <c r="D6" s="53"/>
      <c r="E6" s="54"/>
      <c r="F6" s="53"/>
      <c r="G6" s="53"/>
      <c r="H6" s="53"/>
      <c r="I6" s="53"/>
      <c r="J6" s="53"/>
      <c r="K6" s="53"/>
      <c r="L6" s="53">
        <v>1320</v>
      </c>
      <c r="M6" s="55">
        <v>52769</v>
      </c>
      <c r="N6" s="53">
        <f t="shared" si="0"/>
        <v>25345</v>
      </c>
      <c r="O6" s="53">
        <f t="shared" si="1"/>
        <v>586298</v>
      </c>
      <c r="P6" s="56">
        <f t="shared" si="2"/>
        <v>23.1326888932728</v>
      </c>
      <c r="Q6" s="53">
        <v>20735</v>
      </c>
      <c r="R6" s="53">
        <v>438142</v>
      </c>
      <c r="S6" s="57">
        <f t="shared" si="3"/>
        <v>21.1305522064143</v>
      </c>
      <c r="T6" s="58">
        <f t="shared" si="4"/>
        <v>22.2317708333333</v>
      </c>
    </row>
    <row r="7" s="26" customFormat="1" ht="23" customHeight="1" spans="1:20">
      <c r="A7" s="52" t="s">
        <v>38</v>
      </c>
      <c r="B7" s="53">
        <f>42113-32020</f>
        <v>10093</v>
      </c>
      <c r="C7" s="53">
        <f>182605-9420</f>
        <v>173185</v>
      </c>
      <c r="D7" s="53">
        <v>15480</v>
      </c>
      <c r="E7" s="54">
        <v>93192.7</v>
      </c>
      <c r="F7" s="53">
        <v>360</v>
      </c>
      <c r="G7" s="53">
        <v>1320</v>
      </c>
      <c r="H7" s="53">
        <f>720+168</f>
        <v>888</v>
      </c>
      <c r="I7" s="53">
        <v>7380</v>
      </c>
      <c r="J7" s="53">
        <v>32020</v>
      </c>
      <c r="K7" s="53">
        <v>798856</v>
      </c>
      <c r="L7" s="53">
        <v>0</v>
      </c>
      <c r="M7" s="54">
        <v>0</v>
      </c>
      <c r="N7" s="53">
        <f t="shared" si="0"/>
        <v>58841</v>
      </c>
      <c r="O7" s="53">
        <f t="shared" si="1"/>
        <v>1073933.7</v>
      </c>
      <c r="P7" s="56">
        <f t="shared" si="2"/>
        <v>23.0817324816565</v>
      </c>
      <c r="Q7" s="53">
        <v>10854</v>
      </c>
      <c r="R7" s="53">
        <v>165099</v>
      </c>
      <c r="S7" s="57">
        <f t="shared" si="3"/>
        <v>15.2108899944721</v>
      </c>
      <c r="T7" s="58">
        <f t="shared" si="4"/>
        <v>21.4688390884891</v>
      </c>
    </row>
    <row r="8" s="26" customFormat="1" ht="23" customHeight="1" spans="1:20">
      <c r="A8" s="52" t="s">
        <v>39</v>
      </c>
      <c r="B8" s="53">
        <v>15916</v>
      </c>
      <c r="C8" s="53">
        <v>312086.5</v>
      </c>
      <c r="D8" s="53"/>
      <c r="E8" s="54"/>
      <c r="F8" s="53">
        <v>7002</v>
      </c>
      <c r="G8" s="53">
        <v>59517</v>
      </c>
      <c r="H8" s="53">
        <v>19302</v>
      </c>
      <c r="I8" s="53">
        <v>219486</v>
      </c>
      <c r="J8" s="53">
        <v>33636</v>
      </c>
      <c r="K8" s="53">
        <v>832924</v>
      </c>
      <c r="L8" s="53">
        <v>600</v>
      </c>
      <c r="M8" s="54">
        <v>16440</v>
      </c>
      <c r="N8" s="53">
        <f t="shared" si="0"/>
        <v>76456</v>
      </c>
      <c r="O8" s="53">
        <f t="shared" si="1"/>
        <v>1440453.5</v>
      </c>
      <c r="P8" s="56">
        <f t="shared" si="2"/>
        <v>23.1586078321901</v>
      </c>
      <c r="Q8" s="53">
        <v>12588</v>
      </c>
      <c r="R8" s="53">
        <v>186891</v>
      </c>
      <c r="S8" s="57">
        <f t="shared" si="3"/>
        <v>14.8467588179218</v>
      </c>
      <c r="T8" s="58">
        <f t="shared" si="4"/>
        <v>21.4909387950271</v>
      </c>
    </row>
    <row r="9" s="26" customFormat="1" ht="23" customHeight="1" spans="1:20">
      <c r="A9" s="52" t="s">
        <v>40</v>
      </c>
      <c r="B9" s="53">
        <v>15352</v>
      </c>
      <c r="C9" s="53">
        <v>254371</v>
      </c>
      <c r="D9" s="53"/>
      <c r="E9" s="54"/>
      <c r="F9" s="53"/>
      <c r="G9" s="53"/>
      <c r="H9" s="53">
        <v>660</v>
      </c>
      <c r="I9" s="53">
        <v>12540</v>
      </c>
      <c r="J9" s="53">
        <f>33984+16826</f>
        <v>50810</v>
      </c>
      <c r="K9" s="53">
        <v>1240509</v>
      </c>
      <c r="L9" s="53">
        <v>1034</v>
      </c>
      <c r="M9" s="54">
        <v>41545</v>
      </c>
      <c r="N9" s="53">
        <f t="shared" si="0"/>
        <v>67856</v>
      </c>
      <c r="O9" s="53">
        <f t="shared" si="1"/>
        <v>1548965</v>
      </c>
      <c r="P9" s="56">
        <f t="shared" si="2"/>
        <v>22.8648282635871</v>
      </c>
      <c r="Q9" s="53">
        <v>15897</v>
      </c>
      <c r="R9" s="53">
        <v>190386</v>
      </c>
      <c r="S9" s="57">
        <f t="shared" si="3"/>
        <v>11.9762219286658</v>
      </c>
      <c r="T9" s="58">
        <f t="shared" si="4"/>
        <v>20.7816663256833</v>
      </c>
    </row>
    <row r="10" s="26" customFormat="1" ht="23" customHeight="1" spans="1:20">
      <c r="A10" s="52" t="s">
        <v>158</v>
      </c>
      <c r="B10" s="53">
        <v>14125</v>
      </c>
      <c r="C10" s="53">
        <v>209629</v>
      </c>
      <c r="D10" s="53"/>
      <c r="E10" s="54"/>
      <c r="F10" s="53"/>
      <c r="G10" s="53"/>
      <c r="H10" s="53"/>
      <c r="I10" s="53"/>
      <c r="J10" s="53">
        <v>40516</v>
      </c>
      <c r="K10" s="53">
        <v>976062</v>
      </c>
      <c r="L10" s="53"/>
      <c r="M10" s="54"/>
      <c r="N10" s="53">
        <f t="shared" si="0"/>
        <v>54641</v>
      </c>
      <c r="O10" s="53">
        <f t="shared" si="1"/>
        <v>1185691</v>
      </c>
      <c r="P10" s="56">
        <f t="shared" si="2"/>
        <v>21.6996577661463</v>
      </c>
      <c r="Q10" s="53">
        <v>8410</v>
      </c>
      <c r="R10" s="53">
        <v>108106</v>
      </c>
      <c r="S10" s="57">
        <f t="shared" si="3"/>
        <v>12.8544589774078</v>
      </c>
      <c r="T10" s="58">
        <f t="shared" si="4"/>
        <v>20.519849011118</v>
      </c>
    </row>
    <row r="11" s="26" customFormat="1" ht="23" customHeight="1" spans="1:20">
      <c r="A11" s="52" t="s">
        <v>159</v>
      </c>
      <c r="B11" s="53">
        <v>12335</v>
      </c>
      <c r="C11" s="53">
        <v>191916</v>
      </c>
      <c r="D11" s="53"/>
      <c r="E11" s="54"/>
      <c r="F11" s="53"/>
      <c r="G11" s="53"/>
      <c r="H11" s="53"/>
      <c r="I11" s="53"/>
      <c r="J11" s="53">
        <v>37822</v>
      </c>
      <c r="K11" s="53">
        <f>820869+34284+972</f>
        <v>856125</v>
      </c>
      <c r="L11" s="53"/>
      <c r="M11" s="54"/>
      <c r="N11" s="53">
        <f t="shared" si="0"/>
        <v>50157</v>
      </c>
      <c r="O11" s="53">
        <f t="shared" si="1"/>
        <v>1048041</v>
      </c>
      <c r="P11" s="56">
        <f t="shared" si="2"/>
        <v>20.8952090436031</v>
      </c>
      <c r="Q11" s="53">
        <v>7769</v>
      </c>
      <c r="R11" s="53">
        <v>109402.1</v>
      </c>
      <c r="S11" s="57">
        <f t="shared" si="3"/>
        <v>14.0818766894066</v>
      </c>
      <c r="T11" s="58">
        <f t="shared" si="4"/>
        <v>19.9814090391189</v>
      </c>
    </row>
    <row r="12" s="26" customFormat="1" ht="23" customHeight="1" spans="1:20">
      <c r="A12" s="52" t="s">
        <v>160</v>
      </c>
      <c r="B12" s="53">
        <v>13888</v>
      </c>
      <c r="C12" s="53">
        <v>237251</v>
      </c>
      <c r="D12" s="53"/>
      <c r="E12" s="54"/>
      <c r="F12" s="53"/>
      <c r="G12" s="53"/>
      <c r="H12" s="53"/>
      <c r="I12" s="53"/>
      <c r="J12" s="53">
        <v>94200</v>
      </c>
      <c r="K12" s="56">
        <v>2201726.5</v>
      </c>
      <c r="L12" s="53"/>
      <c r="M12" s="54"/>
      <c r="N12" s="53">
        <f t="shared" si="0"/>
        <v>108088</v>
      </c>
      <c r="O12" s="53">
        <f t="shared" si="1"/>
        <v>2438977.5</v>
      </c>
      <c r="P12" s="56">
        <f t="shared" si="2"/>
        <v>22.5647389164385</v>
      </c>
      <c r="Q12" s="53">
        <v>11028</v>
      </c>
      <c r="R12" s="53">
        <v>140590</v>
      </c>
      <c r="S12" s="57">
        <f t="shared" si="3"/>
        <v>12.7484584693507</v>
      </c>
      <c r="T12" s="58">
        <f t="shared" si="4"/>
        <v>21.6559278350515</v>
      </c>
    </row>
    <row r="13" s="26" customFormat="1" ht="23" customHeight="1" spans="1:20">
      <c r="A13" s="52" t="s">
        <v>161</v>
      </c>
      <c r="B13" s="53">
        <v>12886</v>
      </c>
      <c r="C13" s="53">
        <v>236220</v>
      </c>
      <c r="D13" s="53"/>
      <c r="E13" s="54"/>
      <c r="F13" s="53"/>
      <c r="G13" s="53"/>
      <c r="H13" s="53"/>
      <c r="I13" s="53"/>
      <c r="J13" s="53">
        <v>54036</v>
      </c>
      <c r="K13" s="53">
        <v>1292695</v>
      </c>
      <c r="L13" s="53"/>
      <c r="M13" s="54"/>
      <c r="N13" s="53">
        <f t="shared" si="0"/>
        <v>66922</v>
      </c>
      <c r="O13" s="53">
        <f t="shared" si="1"/>
        <v>1528915</v>
      </c>
      <c r="P13" s="56">
        <f t="shared" si="2"/>
        <v>22.8462239622247</v>
      </c>
      <c r="Q13" s="53">
        <v>10016</v>
      </c>
      <c r="R13" s="53">
        <f>139870+90</f>
        <v>139960</v>
      </c>
      <c r="S13" s="57">
        <f t="shared" si="3"/>
        <v>13.973642172524</v>
      </c>
      <c r="T13" s="58">
        <f t="shared" si="4"/>
        <v>21.6911669136188</v>
      </c>
    </row>
    <row r="14" s="26" customFormat="1" ht="23" customHeight="1" spans="1:20">
      <c r="A14" s="52" t="s">
        <v>162</v>
      </c>
      <c r="B14" s="53">
        <v>17859</v>
      </c>
      <c r="C14" s="53">
        <v>344955</v>
      </c>
      <c r="D14" s="53"/>
      <c r="E14" s="54"/>
      <c r="F14" s="53"/>
      <c r="G14" s="53"/>
      <c r="H14" s="53"/>
      <c r="I14" s="53"/>
      <c r="J14" s="53">
        <v>5540</v>
      </c>
      <c r="K14" s="53">
        <v>130092</v>
      </c>
      <c r="L14" s="53">
        <v>20224</v>
      </c>
      <c r="M14" s="55">
        <v>558530</v>
      </c>
      <c r="N14" s="53">
        <v>43623</v>
      </c>
      <c r="O14" s="53">
        <v>1033577</v>
      </c>
      <c r="P14" s="56">
        <v>23.6933956857621</v>
      </c>
      <c r="Q14" s="53">
        <v>10083</v>
      </c>
      <c r="R14" s="53">
        <v>151685</v>
      </c>
      <c r="S14" s="57">
        <v>15.0436378062085</v>
      </c>
      <c r="T14" s="58">
        <v>22.0694522027334</v>
      </c>
    </row>
    <row r="15" s="26" customFormat="1" ht="23" customHeight="1" spans="1:20">
      <c r="A15" s="52" t="s">
        <v>163</v>
      </c>
      <c r="B15" s="53">
        <v>23369</v>
      </c>
      <c r="C15" s="53">
        <v>433705</v>
      </c>
      <c r="D15" s="53"/>
      <c r="E15" s="54"/>
      <c r="F15" s="53"/>
      <c r="G15" s="53"/>
      <c r="H15" s="53"/>
      <c r="I15" s="53"/>
      <c r="J15" s="53">
        <v>61462</v>
      </c>
      <c r="K15" s="53">
        <v>1510314</v>
      </c>
      <c r="L15" s="53">
        <v>22227</v>
      </c>
      <c r="M15" s="54">
        <v>554905</v>
      </c>
      <c r="N15" s="53">
        <f>B15+D15+F15+H15+J15+L15</f>
        <v>107058</v>
      </c>
      <c r="O15" s="53">
        <f>C15+E15+G15+I15+K15+M15</f>
        <v>2498924</v>
      </c>
      <c r="P15" s="56">
        <f>(C15+K15+M15)/(B15+J15+L15)</f>
        <v>23.3417773543313</v>
      </c>
      <c r="Q15" s="53">
        <v>12193</v>
      </c>
      <c r="R15" s="53">
        <v>184394</v>
      </c>
      <c r="S15" s="57">
        <f>R15/Q15</f>
        <v>15.1229393914541</v>
      </c>
      <c r="T15" s="58">
        <f>(C15+K15+M15+R15)/(B15+J15+L15+Q15)</f>
        <v>22.5014297574025</v>
      </c>
    </row>
    <row r="16" s="26" customFormat="1" ht="23" customHeight="1" spans="1:20">
      <c r="A16" s="52" t="s">
        <v>164</v>
      </c>
      <c r="B16" s="53">
        <v>33271</v>
      </c>
      <c r="C16" s="53">
        <f>699829+612</f>
        <v>700441</v>
      </c>
      <c r="D16" s="53"/>
      <c r="E16" s="54"/>
      <c r="F16" s="53"/>
      <c r="G16" s="53"/>
      <c r="H16" s="53"/>
      <c r="I16" s="53"/>
      <c r="J16" s="53">
        <f>15262</f>
        <v>15262</v>
      </c>
      <c r="K16" s="53">
        <f>356234</f>
        <v>356234</v>
      </c>
      <c r="L16" s="53">
        <v>1328</v>
      </c>
      <c r="M16" s="55">
        <v>29936</v>
      </c>
      <c r="N16" s="53">
        <f>B16+D16+F16+H16+J16+L16</f>
        <v>49861</v>
      </c>
      <c r="O16" s="53">
        <f>C16+E16+G16+I16+K16+M16</f>
        <v>1086611</v>
      </c>
      <c r="P16" s="56">
        <f>(C16+K16+M16)/(B16+J16+L16)</f>
        <v>21.7928039951064</v>
      </c>
      <c r="Q16" s="53">
        <v>11656</v>
      </c>
      <c r="R16" s="53">
        <v>193940</v>
      </c>
      <c r="S16" s="57">
        <f>R16/Q16</f>
        <v>16.6386410432395</v>
      </c>
      <c r="T16" s="58">
        <f>(C16+K16+M16+R16)/(B16+J16+L16+Q16)</f>
        <v>20.8162134044248</v>
      </c>
    </row>
    <row r="17" s="26" customFormat="1" ht="29" customHeight="1" spans="1:20">
      <c r="A17" s="59" t="s">
        <v>43</v>
      </c>
      <c r="B17" s="60">
        <f t="shared" ref="B17:O17" si="5">SUM(B5:B16)</f>
        <v>262276</v>
      </c>
      <c r="C17" s="60">
        <f t="shared" si="5"/>
        <v>5540629.5</v>
      </c>
      <c r="D17" s="60">
        <f t="shared" si="5"/>
        <v>15480</v>
      </c>
      <c r="E17" s="61">
        <f t="shared" si="5"/>
        <v>93192.7</v>
      </c>
      <c r="F17" s="60">
        <f t="shared" si="5"/>
        <v>7362</v>
      </c>
      <c r="G17" s="60">
        <f t="shared" si="5"/>
        <v>60837</v>
      </c>
      <c r="H17" s="60">
        <f t="shared" si="5"/>
        <v>21250</v>
      </c>
      <c r="I17" s="60">
        <f t="shared" si="5"/>
        <v>246906</v>
      </c>
      <c r="J17" s="60">
        <f t="shared" si="5"/>
        <v>425304</v>
      </c>
      <c r="K17" s="60">
        <f t="shared" si="5"/>
        <v>10195537.5</v>
      </c>
      <c r="L17" s="60">
        <f t="shared" si="5"/>
        <v>177281</v>
      </c>
      <c r="M17" s="61">
        <f t="shared" si="5"/>
        <v>4108506.25</v>
      </c>
      <c r="N17" s="60">
        <f t="shared" si="5"/>
        <v>908953</v>
      </c>
      <c r="O17" s="60">
        <f t="shared" si="5"/>
        <v>20245608.95</v>
      </c>
      <c r="P17" s="62">
        <f t="shared" si="2"/>
        <v>22.9455059830424</v>
      </c>
      <c r="Q17" s="60">
        <f>SUM(Q5:Q16)</f>
        <v>161508</v>
      </c>
      <c r="R17" s="60">
        <f>SUM(R5:R16)</f>
        <v>2723718.1</v>
      </c>
      <c r="S17" s="63">
        <f t="shared" si="3"/>
        <v>16.8642921712856</v>
      </c>
      <c r="T17" s="64">
        <f t="shared" si="4"/>
        <v>21.988574625695</v>
      </c>
    </row>
    <row r="19" customFormat="1" spans="1:2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 t="s">
        <v>166</v>
      </c>
      <c r="M19" s="27"/>
      <c r="N19" s="27"/>
      <c r="O19" s="27"/>
      <c r="P19" s="28"/>
      <c r="Q19" s="27"/>
      <c r="R19" s="27"/>
      <c r="S19" s="28"/>
      <c r="T19" s="28"/>
    </row>
    <row r="20" customFormat="1" spans="1: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>
        <v>104820.41</v>
      </c>
      <c r="M20" s="27"/>
      <c r="N20" s="27"/>
      <c r="O20" s="27"/>
      <c r="P20" s="28"/>
      <c r="Q20" s="27"/>
      <c r="R20" s="27"/>
      <c r="S20" s="28"/>
      <c r="T20" s="28"/>
    </row>
    <row r="21" customFormat="1" spans="1:20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 t="s">
        <v>164</v>
      </c>
      <c r="L21" s="27" t="s">
        <v>167</v>
      </c>
      <c r="M21" s="27">
        <v>26610</v>
      </c>
      <c r="N21" s="27"/>
      <c r="O21" s="27"/>
      <c r="P21" s="28"/>
      <c r="Q21" s="27"/>
      <c r="R21" s="27"/>
      <c r="S21" s="28"/>
      <c r="T21" s="28"/>
    </row>
    <row r="23" spans="1:20">
      <c r="Q23" s="27">
        <f>Q17+N17</f>
        <v>1070461</v>
      </c>
    </row>
  </sheetData>
  <mergeCells count="14">
    <mergeCell ref="A1:S1"/>
    <mergeCell ref="B2:P2"/>
    <mergeCell ref="Q2:S2"/>
    <mergeCell ref="D3:M3"/>
    <mergeCell ref="A2:A4"/>
    <mergeCell ref="B3:B4"/>
    <mergeCell ref="C3:C4"/>
    <mergeCell ref="N3:N4"/>
    <mergeCell ref="O3:O4"/>
    <mergeCell ref="P3:P4"/>
    <mergeCell ref="Q3:Q4"/>
    <mergeCell ref="R3:R4"/>
    <mergeCell ref="S3:S4"/>
    <mergeCell ref="T2:T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0"/>
  <sheetViews>
    <sheetView zoomScale="90" zoomScaleNormal="90" topLeftCell="M1" workbookViewId="0">
      <selection activeCell="Z24" sqref="Z24"/>
    </sheetView>
  </sheetViews>
  <sheetFormatPr defaultColWidth="9" defaultRowHeight="15.6"/>
  <cols>
    <col min="1" max="1" width="10.275" style="27" customWidth="1"/>
    <col min="2" max="2" width="8.325" style="27" customWidth="1"/>
    <col min="3" max="4" width="7.75" style="27" customWidth="1"/>
    <col min="5" max="5" width="8.60833333333333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9.3" style="27" customWidth="1"/>
    <col min="16" max="16" width="7.775" style="27" customWidth="1"/>
    <col min="17" max="18" width="8.125" style="27" customWidth="1"/>
    <col min="19" max="19" width="9.3" style="27" customWidth="1"/>
    <col min="20" max="21" width="9.375" style="27" customWidth="1"/>
    <col min="22" max="22" width="13.8916666666667" style="27" customWidth="1"/>
    <col min="23" max="23" width="8.875" style="28" customWidth="1"/>
    <col min="24" max="24" width="10.9666666666667" style="28" customWidth="1"/>
    <col min="25" max="26" width="8.875" style="27" customWidth="1"/>
    <col min="27" max="27" width="10.75" style="27" customWidth="1"/>
    <col min="28" max="28" width="11.525" style="27" customWidth="1"/>
    <col min="29" max="29" width="17.35" style="28" customWidth="1"/>
    <col min="30" max="32" width="8.875" style="28" customWidth="1"/>
    <col min="33" max="34" width="8.875" style="27" customWidth="1"/>
    <col min="35" max="35" width="10.75" style="27" customWidth="1"/>
    <col min="36" max="36" width="11.525" style="27" customWidth="1"/>
    <col min="37" max="37" width="8.875" style="28" customWidth="1"/>
  </cols>
  <sheetData>
    <row r="1" ht="30" customHeight="1" spans="1:37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  <c r="AF1" s="30"/>
      <c r="AG1" s="29"/>
      <c r="AH1" s="29"/>
      <c r="AI1" s="29"/>
      <c r="AJ1" s="29"/>
      <c r="AK1" s="30"/>
    </row>
    <row r="2" s="24" customFormat="1" ht="27" customHeight="1" spans="1:37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92"/>
      <c r="AG2" s="120" t="s">
        <v>5</v>
      </c>
      <c r="AH2" s="121"/>
      <c r="AI2" s="33"/>
      <c r="AJ2" s="122"/>
      <c r="AK2" s="123"/>
    </row>
    <row r="3" s="25" customFormat="1" ht="27" customHeight="1" spans="1:37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3" t="s">
        <v>20</v>
      </c>
      <c r="AG3" s="134"/>
      <c r="AH3" s="133" t="s">
        <v>21</v>
      </c>
      <c r="AI3" s="134"/>
      <c r="AJ3" s="135" t="s">
        <v>22</v>
      </c>
      <c r="AK3" s="136"/>
    </row>
    <row r="4" s="25" customFormat="1" ht="36" customHeight="1" spans="1:37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51"/>
      <c r="AG4" s="152"/>
      <c r="AH4" s="151"/>
      <c r="AI4" s="152"/>
      <c r="AJ4" s="149"/>
      <c r="AK4" s="153"/>
    </row>
    <row r="5" s="25" customFormat="1" ht="22" customHeight="1" spans="1:37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8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48" t="s">
        <v>28</v>
      </c>
      <c r="AG5" s="49" t="s">
        <v>29</v>
      </c>
      <c r="AH5" s="41" t="s">
        <v>28</v>
      </c>
      <c r="AI5" s="140" t="s">
        <v>29</v>
      </c>
      <c r="AJ5" s="162" t="s">
        <v>28</v>
      </c>
      <c r="AK5" s="51" t="s">
        <v>29</v>
      </c>
    </row>
    <row r="6" s="26" customFormat="1" ht="23" customHeight="1" spans="1:37">
      <c r="A6" s="52" t="s">
        <v>36</v>
      </c>
      <c r="B6" s="52"/>
      <c r="C6" s="53">
        <v>72387</v>
      </c>
      <c r="D6" s="53"/>
      <c r="E6" s="53">
        <v>1427651</v>
      </c>
      <c r="F6" s="53"/>
      <c r="G6" s="54"/>
      <c r="H6" s="53"/>
      <c r="I6" s="53"/>
      <c r="J6" s="53">
        <v>40</v>
      </c>
      <c r="K6" s="53">
        <v>690</v>
      </c>
      <c r="L6" s="53"/>
      <c r="M6" s="53">
        <v>4992</v>
      </c>
      <c r="N6" s="53"/>
      <c r="O6" s="53">
        <v>115444</v>
      </c>
      <c r="P6" s="53"/>
      <c r="Q6" s="53">
        <v>103766</v>
      </c>
      <c r="R6" s="53"/>
      <c r="S6" s="55">
        <v>2360978</v>
      </c>
      <c r="T6" s="53">
        <f>C6+F6+H6+J6+M6+Q6+B6+L6+P6</f>
        <v>181185</v>
      </c>
      <c r="U6" s="53">
        <f>E6+G6+I6+K6+O6+S6+D6+N6+R6</f>
        <v>3904763</v>
      </c>
      <c r="V6" s="53" t="e">
        <f>(D6+N6+R6)/(B6+L6+P6)</f>
        <v>#DIV/0!</v>
      </c>
      <c r="W6" s="56">
        <f>(E6+O6+S6)/(C6+M6+Q6)</f>
        <v>21.5521985150018</v>
      </c>
      <c r="X6" s="56"/>
      <c r="Y6" s="53">
        <v>32831</v>
      </c>
      <c r="Z6" s="53"/>
      <c r="AA6" s="53">
        <v>555715</v>
      </c>
      <c r="AB6" s="167" t="e">
        <f>Z6/X6</f>
        <v>#DIV/0!</v>
      </c>
      <c r="AC6" s="57">
        <f>AA6/Y6</f>
        <v>16.9265328500503</v>
      </c>
      <c r="AD6" s="168" t="e">
        <f>(D6+N6+R6+Z6)/(B6+L6+P6+X6)</f>
        <v>#DIV/0!</v>
      </c>
      <c r="AE6" s="58">
        <f>(E6+O6+S6+AA6)/(C6+M6+Q6+Y6)</f>
        <v>20.8424683142035</v>
      </c>
      <c r="AF6" s="56"/>
      <c r="AG6" s="53"/>
      <c r="AH6" s="53"/>
      <c r="AI6" s="53"/>
      <c r="AJ6" s="167" t="e">
        <f t="shared" ref="AJ6:AJ18" si="0">AH6/AF6</f>
        <v>#DIV/0!</v>
      </c>
      <c r="AK6" s="57" t="e">
        <f t="shared" ref="AK6:AK18" si="1">AI6/AG6</f>
        <v>#DIV/0!</v>
      </c>
    </row>
    <row r="7" s="26" customFormat="1" ht="23" customHeight="1" spans="1:37">
      <c r="A7" s="52" t="s">
        <v>37</v>
      </c>
      <c r="B7" s="52"/>
      <c r="C7" s="53">
        <v>25399</v>
      </c>
      <c r="D7" s="53"/>
      <c r="E7" s="53">
        <f>404913-8910</f>
        <v>396003</v>
      </c>
      <c r="F7" s="53"/>
      <c r="G7" s="54"/>
      <c r="H7" s="53"/>
      <c r="I7" s="53"/>
      <c r="J7" s="53"/>
      <c r="K7" s="53"/>
      <c r="L7" s="53"/>
      <c r="M7" s="53">
        <v>88202</v>
      </c>
      <c r="N7" s="53"/>
      <c r="O7" s="53">
        <v>2167000</v>
      </c>
      <c r="P7" s="53"/>
      <c r="Q7" s="53"/>
      <c r="R7" s="53"/>
      <c r="S7" s="54"/>
      <c r="T7" s="53">
        <f t="shared" ref="T7:T17" si="2">C7+F7+H7+J7+M7+Q7+B7+L7+P7</f>
        <v>113601</v>
      </c>
      <c r="U7" s="53">
        <f t="shared" ref="U7:U17" si="3">E7+G7+I7+K7+O7+S7+D7+N7+R7</f>
        <v>2563003</v>
      </c>
      <c r="V7" s="53" t="e">
        <f t="shared" ref="V7:V18" si="4">(D7+N7+R7)/(B7+L7+P7)</f>
        <v>#DIV/0!</v>
      </c>
      <c r="W7" s="56">
        <f t="shared" ref="W7:W18" si="5">(E7+O7+S7)/(C7+M7+Q7)</f>
        <v>22.561447522469</v>
      </c>
      <c r="X7" s="56"/>
      <c r="Y7" s="53">
        <v>14768</v>
      </c>
      <c r="Z7" s="53"/>
      <c r="AA7" s="53">
        <v>175156</v>
      </c>
      <c r="AB7" s="167" t="e">
        <f t="shared" ref="AB7:AB18" si="6">Z7/X7</f>
        <v>#DIV/0!</v>
      </c>
      <c r="AC7" s="57">
        <f t="shared" ref="AC7:AC18" si="7">AA7/Y7</f>
        <v>11.8605092091008</v>
      </c>
      <c r="AD7" s="168" t="e">
        <f t="shared" ref="AD7:AD18" si="8">(D7+N7+R7+Z7)/(B7+L7+P7+X7)</f>
        <v>#DIV/0!</v>
      </c>
      <c r="AE7" s="58">
        <f t="shared" ref="AE7:AE18" si="9">(E7+O7+S7+AA7)/(C7+M7+Q7+Y7)</f>
        <v>21.3303757137627</v>
      </c>
      <c r="AF7" s="56"/>
      <c r="AG7" s="53"/>
      <c r="AH7" s="53"/>
      <c r="AI7" s="53"/>
      <c r="AJ7" s="167" t="e">
        <f t="shared" si="0"/>
        <v>#DIV/0!</v>
      </c>
      <c r="AK7" s="57" t="e">
        <f t="shared" si="1"/>
        <v>#DIV/0!</v>
      </c>
    </row>
    <row r="8" s="26" customFormat="1" ht="23" customHeight="1" spans="1:37">
      <c r="A8" s="52" t="s">
        <v>38</v>
      </c>
      <c r="B8" s="52"/>
      <c r="C8" s="53">
        <v>13835</v>
      </c>
      <c r="D8" s="53"/>
      <c r="E8" s="53">
        <f>201151-24095</f>
        <v>177056</v>
      </c>
      <c r="F8" s="53"/>
      <c r="G8" s="54"/>
      <c r="H8" s="53"/>
      <c r="I8" s="53"/>
      <c r="J8" s="53"/>
      <c r="K8" s="53"/>
      <c r="L8" s="53"/>
      <c r="M8" s="53">
        <v>34560</v>
      </c>
      <c r="N8" s="53"/>
      <c r="O8" s="53">
        <v>879760</v>
      </c>
      <c r="P8" s="53"/>
      <c r="Q8" s="53">
        <v>1240</v>
      </c>
      <c r="R8" s="53"/>
      <c r="S8" s="53">
        <f>58619-27560</f>
        <v>31059</v>
      </c>
      <c r="T8" s="53">
        <f t="shared" si="2"/>
        <v>49635</v>
      </c>
      <c r="U8" s="53">
        <f t="shared" si="3"/>
        <v>1087875</v>
      </c>
      <c r="V8" s="53" t="e">
        <f t="shared" si="4"/>
        <v>#DIV/0!</v>
      </c>
      <c r="W8" s="56">
        <f t="shared" si="5"/>
        <v>21.9174977334542</v>
      </c>
      <c r="X8" s="56"/>
      <c r="Y8" s="53">
        <v>11771</v>
      </c>
      <c r="Z8" s="53"/>
      <c r="AA8" s="53">
        <f>92904-507</f>
        <v>92397</v>
      </c>
      <c r="AB8" s="167" t="e">
        <f t="shared" si="6"/>
        <v>#DIV/0!</v>
      </c>
      <c r="AC8" s="57">
        <f t="shared" si="7"/>
        <v>7.84954549316116</v>
      </c>
      <c r="AD8" s="168" t="e">
        <f t="shared" si="8"/>
        <v>#DIV/0!</v>
      </c>
      <c r="AE8" s="58">
        <f t="shared" si="9"/>
        <v>19.2207927564082</v>
      </c>
      <c r="AF8" s="56"/>
      <c r="AG8" s="53"/>
      <c r="AH8" s="53"/>
      <c r="AI8" s="53"/>
      <c r="AJ8" s="167" t="e">
        <f t="shared" si="0"/>
        <v>#DIV/0!</v>
      </c>
      <c r="AK8" s="57" t="e">
        <f t="shared" si="1"/>
        <v>#DIV/0!</v>
      </c>
    </row>
    <row r="9" s="26" customFormat="1" ht="23" customHeight="1" spans="1:37">
      <c r="A9" s="52" t="s">
        <v>39</v>
      </c>
      <c r="B9" s="52"/>
      <c r="C9" s="53">
        <v>24964</v>
      </c>
      <c r="D9" s="53"/>
      <c r="E9" s="53">
        <f>426350-4500</f>
        <v>421850</v>
      </c>
      <c r="F9" s="53"/>
      <c r="G9" s="53"/>
      <c r="H9" s="53">
        <v>30000</v>
      </c>
      <c r="I9" s="53">
        <f>258900-3900</f>
        <v>255000</v>
      </c>
      <c r="J9" s="53"/>
      <c r="K9" s="53"/>
      <c r="L9" s="53"/>
      <c r="M9" s="53"/>
      <c r="N9" s="53"/>
      <c r="O9" s="53"/>
      <c r="P9" s="53"/>
      <c r="Q9" s="53">
        <v>320</v>
      </c>
      <c r="R9" s="53"/>
      <c r="S9" s="54" t="s">
        <v>168</v>
      </c>
      <c r="T9" s="53">
        <f t="shared" si="2"/>
        <v>55284</v>
      </c>
      <c r="U9" s="53">
        <f t="shared" si="3"/>
        <v>685170</v>
      </c>
      <c r="V9" s="53" t="e">
        <f t="shared" si="4"/>
        <v>#DIV/0!</v>
      </c>
      <c r="W9" s="56">
        <f t="shared" si="5"/>
        <v>17.0135263407689</v>
      </c>
      <c r="X9" s="56"/>
      <c r="Y9" s="53">
        <v>6934</v>
      </c>
      <c r="Z9" s="53"/>
      <c r="AA9" s="53">
        <f>109224-368</f>
        <v>108856</v>
      </c>
      <c r="AB9" s="167" t="e">
        <f t="shared" si="6"/>
        <v>#DIV/0!</v>
      </c>
      <c r="AC9" s="57">
        <f t="shared" si="7"/>
        <v>15.6988751081627</v>
      </c>
      <c r="AD9" s="168" t="e">
        <f t="shared" si="8"/>
        <v>#DIV/0!</v>
      </c>
      <c r="AE9" s="58">
        <f t="shared" si="9"/>
        <v>16.7305853870507</v>
      </c>
      <c r="AF9" s="56"/>
      <c r="AG9" s="53"/>
      <c r="AH9" s="53"/>
      <c r="AI9" s="53"/>
      <c r="AJ9" s="167" t="e">
        <f t="shared" si="0"/>
        <v>#DIV/0!</v>
      </c>
      <c r="AK9" s="57" t="e">
        <f t="shared" si="1"/>
        <v>#DIV/0!</v>
      </c>
    </row>
    <row r="10" s="26" customFormat="1" ht="23" customHeight="1" spans="1:37">
      <c r="A10" s="52" t="s">
        <v>40</v>
      </c>
      <c r="B10" s="52">
        <v>2462</v>
      </c>
      <c r="C10" s="53">
        <v>23352</v>
      </c>
      <c r="D10" s="53">
        <v>32251</v>
      </c>
      <c r="E10" s="53">
        <v>403004</v>
      </c>
      <c r="F10" s="53"/>
      <c r="G10" s="54"/>
      <c r="H10" s="53"/>
      <c r="I10" s="53"/>
      <c r="J10" s="53"/>
      <c r="K10" s="53"/>
      <c r="L10" s="53">
        <v>31200</v>
      </c>
      <c r="M10" s="53"/>
      <c r="N10" s="53">
        <v>530400</v>
      </c>
      <c r="O10" s="53"/>
      <c r="P10" s="53">
        <v>560</v>
      </c>
      <c r="Q10" s="53">
        <v>300</v>
      </c>
      <c r="R10" s="53">
        <v>13660</v>
      </c>
      <c r="S10" s="54" t="s">
        <v>41</v>
      </c>
      <c r="T10" s="53">
        <f t="shared" si="2"/>
        <v>57874</v>
      </c>
      <c r="U10" s="53">
        <f t="shared" si="3"/>
        <v>987115</v>
      </c>
      <c r="V10" s="56">
        <f t="shared" si="4"/>
        <v>16.8403658465315</v>
      </c>
      <c r="W10" s="56">
        <f t="shared" si="5"/>
        <v>17.3686791814646</v>
      </c>
      <c r="X10" s="172">
        <v>1038</v>
      </c>
      <c r="Y10" s="53">
        <v>9151</v>
      </c>
      <c r="Z10" s="53">
        <v>13374</v>
      </c>
      <c r="AA10" s="53">
        <v>134558</v>
      </c>
      <c r="AB10" s="168">
        <f t="shared" si="6"/>
        <v>12.8843930635838</v>
      </c>
      <c r="AC10" s="57">
        <f t="shared" si="7"/>
        <v>14.7041853349361</v>
      </c>
      <c r="AD10" s="168">
        <f t="shared" si="8"/>
        <v>16.7239081111741</v>
      </c>
      <c r="AE10" s="58">
        <f t="shared" si="9"/>
        <v>16.6253696308264</v>
      </c>
      <c r="AF10" s="172"/>
      <c r="AG10" s="53"/>
      <c r="AH10" s="53"/>
      <c r="AI10" s="53"/>
      <c r="AJ10" s="168" t="e">
        <f t="shared" si="0"/>
        <v>#DIV/0!</v>
      </c>
      <c r="AK10" s="57" t="e">
        <f t="shared" si="1"/>
        <v>#DIV/0!</v>
      </c>
    </row>
    <row r="11" s="26" customFormat="1" ht="23" customHeight="1" spans="1:37">
      <c r="A11" s="52" t="s">
        <v>158</v>
      </c>
      <c r="B11" s="52">
        <v>3016</v>
      </c>
      <c r="C11" s="53">
        <v>32151</v>
      </c>
      <c r="D11" s="53">
        <v>42309</v>
      </c>
      <c r="E11" s="53">
        <v>516521</v>
      </c>
      <c r="F11" s="53"/>
      <c r="G11" s="55"/>
      <c r="H11" s="53"/>
      <c r="I11" s="53"/>
      <c r="J11" s="53"/>
      <c r="K11" s="53"/>
      <c r="L11" s="53">
        <v>12480</v>
      </c>
      <c r="M11" s="53">
        <v>10000</v>
      </c>
      <c r="N11" s="53">
        <f>212160-1497</f>
        <v>210663</v>
      </c>
      <c r="O11" s="53">
        <f>260000-1303</f>
        <v>258697</v>
      </c>
      <c r="P11" s="53">
        <v>1904</v>
      </c>
      <c r="Q11" s="53">
        <v>1500</v>
      </c>
      <c r="R11" s="53">
        <v>32368</v>
      </c>
      <c r="S11" s="55">
        <v>40400</v>
      </c>
      <c r="T11" s="53">
        <f t="shared" si="2"/>
        <v>61051</v>
      </c>
      <c r="U11" s="53">
        <f t="shared" si="3"/>
        <v>1100958</v>
      </c>
      <c r="V11" s="53">
        <f t="shared" si="4"/>
        <v>16.3988505747126</v>
      </c>
      <c r="W11" s="56">
        <f t="shared" si="5"/>
        <v>18.6849785801013</v>
      </c>
      <c r="X11" s="172">
        <v>3420</v>
      </c>
      <c r="Y11" s="53">
        <v>11335</v>
      </c>
      <c r="Z11" s="53">
        <v>39536</v>
      </c>
      <c r="AA11" s="53">
        <v>150619</v>
      </c>
      <c r="AB11" s="167">
        <f t="shared" si="6"/>
        <v>11.5602339181287</v>
      </c>
      <c r="AC11" s="57">
        <f t="shared" si="7"/>
        <v>13.2879576532863</v>
      </c>
      <c r="AD11" s="168">
        <f t="shared" si="8"/>
        <v>15.6040345821326</v>
      </c>
      <c r="AE11" s="58">
        <f t="shared" si="9"/>
        <v>17.5724184337831</v>
      </c>
      <c r="AF11" s="172"/>
      <c r="AG11" s="53"/>
      <c r="AH11" s="53"/>
      <c r="AI11" s="53"/>
      <c r="AJ11" s="167" t="e">
        <f t="shared" si="0"/>
        <v>#DIV/0!</v>
      </c>
      <c r="AK11" s="57" t="e">
        <f t="shared" si="1"/>
        <v>#DIV/0!</v>
      </c>
    </row>
    <row r="12" s="26" customFormat="1" ht="23" customHeight="1" spans="1:37">
      <c r="A12" s="52" t="s">
        <v>159</v>
      </c>
      <c r="B12" s="52">
        <v>1646</v>
      </c>
      <c r="C12" s="53">
        <v>24381</v>
      </c>
      <c r="D12" s="53">
        <v>25801</v>
      </c>
      <c r="E12" s="53">
        <v>382617</v>
      </c>
      <c r="F12" s="53"/>
      <c r="G12" s="54"/>
      <c r="H12" s="53"/>
      <c r="I12" s="53"/>
      <c r="J12" s="53"/>
      <c r="K12" s="53"/>
      <c r="L12" s="53">
        <v>1800</v>
      </c>
      <c r="M12" s="53">
        <v>15300</v>
      </c>
      <c r="N12" s="53">
        <v>38700</v>
      </c>
      <c r="O12" s="53">
        <v>382500</v>
      </c>
      <c r="P12" s="53">
        <v>3098</v>
      </c>
      <c r="Q12" s="53">
        <v>3102</v>
      </c>
      <c r="R12" s="53">
        <v>54104</v>
      </c>
      <c r="S12" s="55">
        <v>77150</v>
      </c>
      <c r="T12" s="53">
        <f t="shared" si="2"/>
        <v>49327</v>
      </c>
      <c r="U12" s="53">
        <f t="shared" si="3"/>
        <v>960872</v>
      </c>
      <c r="V12" s="53">
        <f t="shared" si="4"/>
        <v>18.1242359413203</v>
      </c>
      <c r="W12" s="56">
        <f t="shared" si="5"/>
        <v>19.6869550989879</v>
      </c>
      <c r="X12" s="172">
        <v>1481</v>
      </c>
      <c r="Y12" s="53">
        <v>10286</v>
      </c>
      <c r="Z12" s="53">
        <v>18715</v>
      </c>
      <c r="AA12" s="53">
        <v>140811</v>
      </c>
      <c r="AB12" s="167">
        <f t="shared" si="6"/>
        <v>12.6367319378798</v>
      </c>
      <c r="AC12" s="57">
        <f t="shared" si="7"/>
        <v>13.6895780672759</v>
      </c>
      <c r="AD12" s="168">
        <f t="shared" si="8"/>
        <v>17.1115264797508</v>
      </c>
      <c r="AE12" s="58">
        <f t="shared" si="9"/>
        <v>18.5245246754226</v>
      </c>
      <c r="AF12" s="172"/>
      <c r="AG12" s="53"/>
      <c r="AH12" s="53"/>
      <c r="AI12" s="53"/>
      <c r="AJ12" s="167" t="e">
        <f t="shared" si="0"/>
        <v>#DIV/0!</v>
      </c>
      <c r="AK12" s="57" t="e">
        <f t="shared" si="1"/>
        <v>#DIV/0!</v>
      </c>
    </row>
    <row r="13" s="26" customFormat="1" ht="23" customHeight="1" spans="1:37">
      <c r="A13" s="52" t="s">
        <v>160</v>
      </c>
      <c r="B13" s="52">
        <f>4932</f>
        <v>4932</v>
      </c>
      <c r="C13" s="53">
        <f>24361</f>
        <v>24361</v>
      </c>
      <c r="D13" s="53">
        <f>71042-52</f>
        <v>70990</v>
      </c>
      <c r="E13" s="53">
        <f>437027-240</f>
        <v>436787</v>
      </c>
      <c r="F13" s="53"/>
      <c r="G13" s="54"/>
      <c r="H13" s="53"/>
      <c r="I13" s="53"/>
      <c r="J13" s="53">
        <v>120</v>
      </c>
      <c r="K13" s="53">
        <v>720</v>
      </c>
      <c r="L13" s="53">
        <v>76080</v>
      </c>
      <c r="M13" s="53">
        <v>22996</v>
      </c>
      <c r="N13" s="53">
        <v>1278144</v>
      </c>
      <c r="O13" s="172">
        <v>557944</v>
      </c>
      <c r="P13" s="172">
        <f>3492+982</f>
        <v>4474</v>
      </c>
      <c r="Q13" s="53">
        <f>5279+440</f>
        <v>5719</v>
      </c>
      <c r="R13" s="53">
        <f>59248+16694</f>
        <v>75942</v>
      </c>
      <c r="S13" s="55">
        <f>127558+10880</f>
        <v>138438</v>
      </c>
      <c r="T13" s="53">
        <f t="shared" si="2"/>
        <v>138682</v>
      </c>
      <c r="U13" s="53">
        <f t="shared" si="3"/>
        <v>2558965</v>
      </c>
      <c r="V13" s="56">
        <f t="shared" si="4"/>
        <v>16.6702851928971</v>
      </c>
      <c r="W13" s="56">
        <f t="shared" si="5"/>
        <v>21.3499321727334</v>
      </c>
      <c r="X13" s="172">
        <v>1871</v>
      </c>
      <c r="Y13" s="53">
        <v>8019</v>
      </c>
      <c r="Z13" s="53">
        <v>24953</v>
      </c>
      <c r="AA13" s="53">
        <v>104375</v>
      </c>
      <c r="AB13" s="167">
        <f t="shared" si="6"/>
        <v>13.3367183324425</v>
      </c>
      <c r="AC13" s="57">
        <f t="shared" si="7"/>
        <v>13.0159620900362</v>
      </c>
      <c r="AD13" s="168">
        <f t="shared" si="8"/>
        <v>16.5988873244273</v>
      </c>
      <c r="AE13" s="58">
        <f t="shared" si="9"/>
        <v>20.2560602340617</v>
      </c>
      <c r="AF13" s="172"/>
      <c r="AG13" s="53"/>
      <c r="AH13" s="53"/>
      <c r="AI13" s="53"/>
      <c r="AJ13" s="167" t="e">
        <f t="shared" si="0"/>
        <v>#DIV/0!</v>
      </c>
      <c r="AK13" s="57" t="e">
        <f t="shared" si="1"/>
        <v>#DIV/0!</v>
      </c>
    </row>
    <row r="14" s="26" customFormat="1" ht="23" customHeight="1" spans="1:37">
      <c r="A14" s="52" t="s">
        <v>161</v>
      </c>
      <c r="B14" s="52">
        <v>3328</v>
      </c>
      <c r="C14" s="53">
        <f>25611</f>
        <v>25611</v>
      </c>
      <c r="D14" s="53">
        <v>52587</v>
      </c>
      <c r="E14" s="53">
        <f>447226-180-24</f>
        <v>447022</v>
      </c>
      <c r="F14" s="53"/>
      <c r="G14" s="54"/>
      <c r="H14" s="53"/>
      <c r="I14" s="53"/>
      <c r="J14" s="53">
        <v>9</v>
      </c>
      <c r="K14" s="53">
        <v>180</v>
      </c>
      <c r="L14" s="53">
        <v>10296</v>
      </c>
      <c r="M14" s="53">
        <v>32128</v>
      </c>
      <c r="N14" s="53">
        <v>172972.8</v>
      </c>
      <c r="O14" s="53">
        <v>754217</v>
      </c>
      <c r="P14" s="53">
        <v>4190</v>
      </c>
      <c r="Q14" s="53">
        <f>7624+1000</f>
        <v>8624</v>
      </c>
      <c r="R14" s="53">
        <v>69946</v>
      </c>
      <c r="S14" s="55">
        <f>190804+24032</f>
        <v>214836</v>
      </c>
      <c r="T14" s="53">
        <f t="shared" si="2"/>
        <v>84186</v>
      </c>
      <c r="U14" s="53">
        <f t="shared" si="3"/>
        <v>1711760.8</v>
      </c>
      <c r="V14" s="53">
        <f t="shared" si="4"/>
        <v>16.5884023801504</v>
      </c>
      <c r="W14" s="56">
        <f t="shared" si="5"/>
        <v>21.3383210523937</v>
      </c>
      <c r="X14" s="172">
        <v>3136</v>
      </c>
      <c r="Y14" s="53">
        <v>6153</v>
      </c>
      <c r="Z14" s="53">
        <v>33480</v>
      </c>
      <c r="AA14" s="53">
        <v>92532</v>
      </c>
      <c r="AB14" s="167">
        <f t="shared" si="6"/>
        <v>10.6760204081633</v>
      </c>
      <c r="AC14" s="57">
        <f t="shared" si="7"/>
        <v>15.038517796197</v>
      </c>
      <c r="AD14" s="168">
        <f t="shared" si="8"/>
        <v>15.7033794749403</v>
      </c>
      <c r="AE14" s="58">
        <f t="shared" si="9"/>
        <v>20.8037812344862</v>
      </c>
      <c r="AF14" s="172"/>
      <c r="AG14" s="53"/>
      <c r="AH14" s="53"/>
      <c r="AI14" s="53"/>
      <c r="AJ14" s="167" t="e">
        <f t="shared" si="0"/>
        <v>#DIV/0!</v>
      </c>
      <c r="AK14" s="57" t="e">
        <f t="shared" si="1"/>
        <v>#DIV/0!</v>
      </c>
    </row>
    <row r="15" s="26" customFormat="1" ht="23" customHeight="1" spans="1:37">
      <c r="A15" s="52" t="s">
        <v>162</v>
      </c>
      <c r="B15" s="52">
        <v>6004</v>
      </c>
      <c r="C15" s="53">
        <v>32348</v>
      </c>
      <c r="D15" s="53">
        <v>92349</v>
      </c>
      <c r="E15" s="53">
        <v>593657</v>
      </c>
      <c r="F15" s="53"/>
      <c r="G15" s="54"/>
      <c r="H15" s="53"/>
      <c r="I15" s="53"/>
      <c r="J15" s="53">
        <v>10794</v>
      </c>
      <c r="K15" s="53">
        <v>183498</v>
      </c>
      <c r="L15" s="53"/>
      <c r="M15" s="53"/>
      <c r="N15" s="53"/>
      <c r="O15" s="53"/>
      <c r="P15" s="53">
        <v>54446</v>
      </c>
      <c r="Q15" s="53">
        <v>8596</v>
      </c>
      <c r="R15" s="53">
        <v>914983.6</v>
      </c>
      <c r="S15" s="54" t="s">
        <v>169</v>
      </c>
      <c r="T15" s="53">
        <f t="shared" si="2"/>
        <v>112188</v>
      </c>
      <c r="U15" s="53">
        <f t="shared" si="3"/>
        <v>1995187.1</v>
      </c>
      <c r="V15" s="53">
        <f t="shared" si="4"/>
        <v>16.6638974358974</v>
      </c>
      <c r="W15" s="56">
        <f t="shared" si="5"/>
        <v>19.6452838022665</v>
      </c>
      <c r="X15" s="172">
        <v>3617</v>
      </c>
      <c r="Y15" s="53">
        <v>10224</v>
      </c>
      <c r="Z15" s="53">
        <v>41954</v>
      </c>
      <c r="AA15" s="53">
        <v>129036</v>
      </c>
      <c r="AB15" s="167">
        <f t="shared" si="6"/>
        <v>11.5991152889135</v>
      </c>
      <c r="AC15" s="57">
        <f t="shared" si="7"/>
        <v>12.6208920187793</v>
      </c>
      <c r="AD15" s="168">
        <f t="shared" si="8"/>
        <v>16.3779574507937</v>
      </c>
      <c r="AE15" s="58">
        <f t="shared" si="9"/>
        <v>18.2417233427142</v>
      </c>
      <c r="AF15" s="169"/>
      <c r="AG15" s="53">
        <v>85</v>
      </c>
      <c r="AH15" s="53"/>
      <c r="AI15" s="53">
        <v>2057</v>
      </c>
      <c r="AJ15" s="53" t="e">
        <f t="shared" si="0"/>
        <v>#DIV/0!</v>
      </c>
      <c r="AK15" s="56">
        <f t="shared" si="1"/>
        <v>24.2</v>
      </c>
    </row>
    <row r="16" s="26" customFormat="1" ht="23" customHeight="1" spans="1:37">
      <c r="A16" s="52" t="s">
        <v>163</v>
      </c>
      <c r="B16" s="52">
        <v>5757</v>
      </c>
      <c r="C16" s="53">
        <v>34463</v>
      </c>
      <c r="D16" s="53">
        <v>98431</v>
      </c>
      <c r="E16" s="53">
        <v>617950</v>
      </c>
      <c r="F16" s="53"/>
      <c r="G16" s="54"/>
      <c r="H16" s="53"/>
      <c r="I16" s="53"/>
      <c r="J16" s="53"/>
      <c r="K16" s="53"/>
      <c r="L16" s="53"/>
      <c r="M16" s="53">
        <v>33600</v>
      </c>
      <c r="N16" s="53"/>
      <c r="O16" s="53">
        <v>756000</v>
      </c>
      <c r="P16" s="53">
        <v>786</v>
      </c>
      <c r="Q16" s="53">
        <v>4652</v>
      </c>
      <c r="R16" s="53">
        <v>12868</v>
      </c>
      <c r="S16" s="172">
        <v>111143.5</v>
      </c>
      <c r="T16" s="53">
        <f t="shared" si="2"/>
        <v>79258</v>
      </c>
      <c r="U16" s="53">
        <f t="shared" si="3"/>
        <v>1596392.5</v>
      </c>
      <c r="V16" s="53">
        <f t="shared" si="4"/>
        <v>17.0103927861837</v>
      </c>
      <c r="W16" s="56">
        <f t="shared" si="5"/>
        <v>20.4234820876023</v>
      </c>
      <c r="X16" s="176">
        <v>3557</v>
      </c>
      <c r="Y16" s="53">
        <v>14887</v>
      </c>
      <c r="Z16" s="53">
        <v>38109</v>
      </c>
      <c r="AA16" s="53">
        <v>204266</v>
      </c>
      <c r="AB16" s="167">
        <f t="shared" si="6"/>
        <v>10.7138037672196</v>
      </c>
      <c r="AC16" s="57">
        <f t="shared" si="7"/>
        <v>13.7210989453886</v>
      </c>
      <c r="AD16" s="168">
        <f t="shared" si="8"/>
        <v>14.7928712871287</v>
      </c>
      <c r="AE16" s="58">
        <f t="shared" si="9"/>
        <v>19.2844855140294</v>
      </c>
      <c r="AF16" s="169"/>
      <c r="AG16" s="53">
        <v>129</v>
      </c>
      <c r="AH16" s="53"/>
      <c r="AI16" s="53">
        <v>2837</v>
      </c>
      <c r="AJ16" s="53" t="e">
        <f t="shared" si="0"/>
        <v>#DIV/0!</v>
      </c>
      <c r="AK16" s="53">
        <f t="shared" si="1"/>
        <v>21.9922480620155</v>
      </c>
    </row>
    <row r="17" s="26" customFormat="1" ht="23" customHeight="1" spans="1:37">
      <c r="A17" s="52" t="s">
        <v>164</v>
      </c>
      <c r="B17" s="52">
        <v>2539</v>
      </c>
      <c r="C17" s="53">
        <v>29218</v>
      </c>
      <c r="D17" s="53">
        <v>52184</v>
      </c>
      <c r="E17" s="53">
        <v>609859</v>
      </c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>
        <v>5206</v>
      </c>
      <c r="R17" s="53"/>
      <c r="S17" s="55">
        <f>123260.06+168</f>
        <v>123428.06</v>
      </c>
      <c r="T17" s="53">
        <f t="shared" si="2"/>
        <v>36963</v>
      </c>
      <c r="U17" s="53">
        <f t="shared" si="3"/>
        <v>785471.06</v>
      </c>
      <c r="V17" s="53">
        <f t="shared" si="4"/>
        <v>20.5529736116581</v>
      </c>
      <c r="W17" s="56">
        <f t="shared" si="5"/>
        <v>21.3016227050895</v>
      </c>
      <c r="X17" s="172">
        <v>1534</v>
      </c>
      <c r="Y17" s="53">
        <v>12856</v>
      </c>
      <c r="Z17" s="53">
        <v>23664</v>
      </c>
      <c r="AA17" s="53">
        <v>188352.01</v>
      </c>
      <c r="AB17" s="167">
        <f t="shared" si="6"/>
        <v>15.4263363754889</v>
      </c>
      <c r="AC17" s="57">
        <f t="shared" si="7"/>
        <v>14.6509030802738</v>
      </c>
      <c r="AD17" s="168">
        <f t="shared" si="8"/>
        <v>18.6221458384483</v>
      </c>
      <c r="AE17" s="58">
        <f t="shared" si="9"/>
        <v>19.4932121404399</v>
      </c>
      <c r="AF17" s="169"/>
      <c r="AG17" s="53">
        <v>71</v>
      </c>
      <c r="AH17" s="53"/>
      <c r="AI17" s="53">
        <v>1829</v>
      </c>
      <c r="AJ17" s="53" t="e">
        <f t="shared" si="0"/>
        <v>#DIV/0!</v>
      </c>
      <c r="AK17" s="53">
        <f t="shared" si="1"/>
        <v>25.7605633802817</v>
      </c>
    </row>
    <row r="18" s="26" customFormat="1" ht="29" customHeight="1" spans="1:37">
      <c r="A18" s="59" t="s">
        <v>43</v>
      </c>
      <c r="B18" s="59">
        <f>SUM(B6:B17)</f>
        <v>29684</v>
      </c>
      <c r="C18" s="59">
        <f t="shared" ref="C18:U18" si="10">SUM(C6:C17)</f>
        <v>362470</v>
      </c>
      <c r="D18" s="59">
        <f t="shared" si="10"/>
        <v>466902</v>
      </c>
      <c r="E18" s="59">
        <f t="shared" si="10"/>
        <v>6429977</v>
      </c>
      <c r="F18" s="59">
        <f t="shared" si="10"/>
        <v>0</v>
      </c>
      <c r="G18" s="59">
        <f t="shared" si="10"/>
        <v>0</v>
      </c>
      <c r="H18" s="59">
        <f t="shared" si="10"/>
        <v>30000</v>
      </c>
      <c r="I18" s="59">
        <f t="shared" si="10"/>
        <v>255000</v>
      </c>
      <c r="J18" s="59">
        <f t="shared" si="10"/>
        <v>10963</v>
      </c>
      <c r="K18" s="59">
        <f t="shared" si="10"/>
        <v>185088</v>
      </c>
      <c r="L18" s="59">
        <f t="shared" si="10"/>
        <v>131856</v>
      </c>
      <c r="M18" s="59">
        <f t="shared" si="10"/>
        <v>241778</v>
      </c>
      <c r="N18" s="59">
        <f t="shared" si="10"/>
        <v>2230879.8</v>
      </c>
      <c r="O18" s="59">
        <f t="shared" si="10"/>
        <v>5871562</v>
      </c>
      <c r="P18" s="59">
        <f t="shared" si="10"/>
        <v>69458</v>
      </c>
      <c r="Q18" s="59">
        <f t="shared" si="10"/>
        <v>143025</v>
      </c>
      <c r="R18" s="59">
        <f t="shared" si="10"/>
        <v>1173871.6</v>
      </c>
      <c r="S18" s="59">
        <f t="shared" si="10"/>
        <v>3097432.56</v>
      </c>
      <c r="T18" s="60">
        <f t="shared" si="10"/>
        <v>1019234</v>
      </c>
      <c r="U18" s="60">
        <f t="shared" si="10"/>
        <v>19937532.46</v>
      </c>
      <c r="V18" s="62">
        <f t="shared" si="4"/>
        <v>16.7605494419865</v>
      </c>
      <c r="W18" s="62">
        <f t="shared" si="5"/>
        <v>20.6068887274129</v>
      </c>
      <c r="X18" s="62">
        <f>SUM(X6:X17)</f>
        <v>19654</v>
      </c>
      <c r="Y18" s="60">
        <f>SUM(Y6:Y17)</f>
        <v>149215</v>
      </c>
      <c r="Z18" s="60">
        <f>SUM(Z6:Z17)</f>
        <v>233785</v>
      </c>
      <c r="AA18" s="60">
        <f>SUM(AA6:AA17)</f>
        <v>2076673.01</v>
      </c>
      <c r="AB18" s="184">
        <f t="shared" si="6"/>
        <v>11.8950340897527</v>
      </c>
      <c r="AC18" s="63">
        <f t="shared" si="7"/>
        <v>13.9173207117247</v>
      </c>
      <c r="AD18" s="184">
        <f t="shared" si="8"/>
        <v>16.379037071318</v>
      </c>
      <c r="AE18" s="64">
        <f t="shared" si="9"/>
        <v>19.4934506317988</v>
      </c>
      <c r="AF18" s="62">
        <f t="shared" ref="AF18:AI18" si="11">SUM(AF6:AF17)</f>
        <v>0</v>
      </c>
      <c r="AG18" s="60">
        <f t="shared" si="11"/>
        <v>285</v>
      </c>
      <c r="AH18" s="60">
        <f t="shared" si="11"/>
        <v>0</v>
      </c>
      <c r="AI18" s="60">
        <f t="shared" si="11"/>
        <v>6723</v>
      </c>
      <c r="AJ18" s="184" t="e">
        <f t="shared" si="0"/>
        <v>#DIV/0!</v>
      </c>
      <c r="AK18" s="63">
        <f t="shared" si="1"/>
        <v>23.5894736842105</v>
      </c>
    </row>
    <row r="24" spans="1:37">
      <c r="W24" s="28">
        <f>Y10+X10+T10</f>
        <v>68063</v>
      </c>
    </row>
    <row r="30" spans="1:37">
      <c r="AC30" s="28">
        <f>AG18+AF18+Y18+X18+T18</f>
        <v>1188388</v>
      </c>
    </row>
  </sheetData>
  <mergeCells count="32">
    <mergeCell ref="A1:AC1"/>
    <mergeCell ref="C2:W2"/>
    <mergeCell ref="Y2:AC2"/>
    <mergeCell ref="AG2:AK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V3:W4"/>
    <mergeCell ref="X3:Y4"/>
    <mergeCell ref="Z3:AA4"/>
    <mergeCell ref="AB3:AC4"/>
    <mergeCell ref="AF3:AG4"/>
    <mergeCell ref="AH3:AI4"/>
    <mergeCell ref="AJ3:AK4"/>
    <mergeCell ref="AD2:AE4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9"/>
  <sheetViews>
    <sheetView workbookViewId="0">
      <selection activeCell="AP23" sqref="AP23"/>
    </sheetView>
  </sheetViews>
  <sheetFormatPr defaultColWidth="9" defaultRowHeight="15.6"/>
  <cols>
    <col min="1" max="1" width="12.25" style="27" customWidth="1"/>
    <col min="2" max="5" width="9.875" style="27" customWidth="1"/>
    <col min="6" max="6" width="6.375" style="27" customWidth="1"/>
    <col min="7" max="7" width="8.125" style="27" customWidth="1"/>
    <col min="8" max="8" width="6.375" style="27" customWidth="1"/>
    <col min="9" max="9" width="7.875" style="27" customWidth="1"/>
    <col min="10" max="10" width="6.625" style="27" customWidth="1"/>
    <col min="11" max="12" width="8" style="27" customWidth="1"/>
    <col min="13" max="13" width="7.5" style="27" customWidth="1"/>
    <col min="14" max="14" width="8.60833333333333" style="27" customWidth="1"/>
    <col min="15" max="15" width="11.375" style="27" customWidth="1"/>
    <col min="16" max="16" width="7.775" style="27" customWidth="1"/>
    <col min="17" max="18" width="8.125" style="27" customWidth="1"/>
    <col min="19" max="19" width="23.75" style="27" customWidth="1"/>
    <col min="20" max="21" width="9.375" style="27" customWidth="1"/>
    <col min="22" max="22" width="13.8916666666667" style="27" customWidth="1"/>
    <col min="23" max="23" width="8.875" style="28" customWidth="1"/>
    <col min="24" max="24" width="9.5" style="28" customWidth="1"/>
    <col min="25" max="26" width="8.875" style="27" customWidth="1"/>
    <col min="27" max="27" width="10.75" style="27" customWidth="1"/>
    <col min="28" max="28" width="8.60833333333333" style="27" customWidth="1"/>
    <col min="29" max="29" width="16.125" style="28" customWidth="1"/>
    <col min="30" max="30" width="8.875" style="28" customWidth="1"/>
    <col min="31" max="31" width="13.625" style="28" customWidth="1"/>
    <col min="34" max="34" width="10.375"/>
    <col min="37" max="37" width="16.625" customWidth="1"/>
    <col min="44" max="46" width="12.625"/>
    <col min="48" max="48" width="12.625"/>
  </cols>
  <sheetData>
    <row r="1" ht="30" customHeight="1" spans="1:49">
      <c r="A1" s="29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29"/>
      <c r="Z1" s="29"/>
      <c r="AA1" s="29"/>
      <c r="AB1" s="29"/>
      <c r="AC1" s="30"/>
      <c r="AD1" s="30"/>
      <c r="AE1" s="30"/>
    </row>
    <row r="2" s="24" customFormat="1" ht="27" customHeight="1" spans="1:49">
      <c r="A2" s="31" t="s">
        <v>1</v>
      </c>
      <c r="B2" s="117"/>
      <c r="C2" s="118" t="s">
        <v>2</v>
      </c>
      <c r="D2" s="119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18"/>
      <c r="Y2" s="120" t="s">
        <v>3</v>
      </c>
      <c r="Z2" s="121"/>
      <c r="AA2" s="33"/>
      <c r="AB2" s="122"/>
      <c r="AC2" s="123"/>
      <c r="AD2" s="124" t="s">
        <v>4</v>
      </c>
      <c r="AE2" s="125"/>
      <c r="AF2" s="126"/>
      <c r="AG2" s="33" t="s">
        <v>5</v>
      </c>
      <c r="AH2" s="33"/>
      <c r="AI2" s="33"/>
      <c r="AJ2" s="33"/>
      <c r="AK2" s="34"/>
      <c r="AL2" s="33" t="s">
        <v>6</v>
      </c>
      <c r="AM2" s="33"/>
      <c r="AN2" s="33"/>
      <c r="AO2" s="33"/>
      <c r="AP2" s="33"/>
      <c r="AQ2" s="33"/>
      <c r="AR2" s="33"/>
      <c r="AS2" s="33"/>
      <c r="AT2" s="33"/>
    </row>
    <row r="3" s="25" customFormat="1" ht="27" customHeight="1" spans="1:49">
      <c r="A3" s="127"/>
      <c r="B3" s="37" t="s">
        <v>11</v>
      </c>
      <c r="C3" s="128"/>
      <c r="D3" s="129" t="s">
        <v>12</v>
      </c>
      <c r="E3" s="130"/>
      <c r="F3" s="39" t="s">
        <v>13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 t="s">
        <v>14</v>
      </c>
      <c r="U3" s="40" t="s">
        <v>15</v>
      </c>
      <c r="V3" s="131" t="s">
        <v>16</v>
      </c>
      <c r="W3" s="132"/>
      <c r="X3" s="133" t="s">
        <v>17</v>
      </c>
      <c r="Y3" s="134"/>
      <c r="Z3" s="133" t="s">
        <v>18</v>
      </c>
      <c r="AA3" s="134"/>
      <c r="AB3" s="135" t="s">
        <v>19</v>
      </c>
      <c r="AC3" s="136"/>
      <c r="AD3" s="137"/>
      <c r="AE3" s="138"/>
      <c r="AF3" s="139" t="s">
        <v>20</v>
      </c>
      <c r="AG3" s="140"/>
      <c r="AH3" s="140" t="s">
        <v>21</v>
      </c>
      <c r="AI3" s="140"/>
      <c r="AJ3" s="41" t="s">
        <v>22</v>
      </c>
      <c r="AK3" s="141"/>
      <c r="AL3" s="140" t="s">
        <v>23</v>
      </c>
      <c r="AM3" s="140"/>
      <c r="AN3" s="140"/>
      <c r="AO3" s="140" t="s">
        <v>24</v>
      </c>
      <c r="AP3" s="140"/>
      <c r="AQ3" s="140"/>
      <c r="AR3" s="41" t="s">
        <v>25</v>
      </c>
      <c r="AS3" s="41"/>
      <c r="AT3" s="41"/>
    </row>
    <row r="4" s="25" customFormat="1" ht="36" customHeight="1" spans="1:49">
      <c r="A4" s="127"/>
      <c r="B4" s="36" t="s">
        <v>26</v>
      </c>
      <c r="C4" s="142" t="s">
        <v>27</v>
      </c>
      <c r="D4" s="142" t="s">
        <v>28</v>
      </c>
      <c r="E4" s="143" t="s">
        <v>29</v>
      </c>
      <c r="F4" s="144" t="s">
        <v>30</v>
      </c>
      <c r="G4" s="145" t="s">
        <v>12</v>
      </c>
      <c r="H4" s="144" t="s">
        <v>31</v>
      </c>
      <c r="I4" s="145" t="s">
        <v>12</v>
      </c>
      <c r="J4" s="144" t="s">
        <v>32</v>
      </c>
      <c r="K4" s="145" t="s">
        <v>12</v>
      </c>
      <c r="L4" s="146" t="s">
        <v>33</v>
      </c>
      <c r="M4" s="147"/>
      <c r="N4" s="148" t="s">
        <v>12</v>
      </c>
      <c r="O4" s="130"/>
      <c r="P4" s="146" t="s">
        <v>34</v>
      </c>
      <c r="Q4" s="147"/>
      <c r="R4" s="146" t="s">
        <v>35</v>
      </c>
      <c r="S4" s="147"/>
      <c r="T4" s="47"/>
      <c r="U4" s="47"/>
      <c r="V4" s="149"/>
      <c r="W4" s="150"/>
      <c r="X4" s="151"/>
      <c r="Y4" s="152"/>
      <c r="Z4" s="151"/>
      <c r="AA4" s="152"/>
      <c r="AB4" s="149"/>
      <c r="AC4" s="153"/>
      <c r="AD4" s="154"/>
      <c r="AE4" s="155"/>
      <c r="AF4" s="139"/>
      <c r="AG4" s="140"/>
      <c r="AH4" s="140"/>
      <c r="AI4" s="140"/>
      <c r="AJ4" s="41"/>
      <c r="AK4" s="141"/>
      <c r="AL4" s="140"/>
      <c r="AM4" s="140"/>
      <c r="AN4" s="140"/>
      <c r="AO4" s="140"/>
      <c r="AP4" s="140"/>
      <c r="AQ4" s="140"/>
      <c r="AR4" s="41"/>
      <c r="AS4" s="41"/>
      <c r="AT4" s="41"/>
    </row>
    <row r="5" s="25" customFormat="1" ht="22" customHeight="1" spans="1:49">
      <c r="A5" s="156"/>
      <c r="B5" s="46"/>
      <c r="C5" s="157"/>
      <c r="D5" s="157"/>
      <c r="E5" s="157"/>
      <c r="F5" s="158"/>
      <c r="G5" s="159"/>
      <c r="H5" s="158"/>
      <c r="I5" s="159"/>
      <c r="J5" s="158"/>
      <c r="K5" s="159"/>
      <c r="L5" s="160" t="s">
        <v>28</v>
      </c>
      <c r="M5" s="147" t="s">
        <v>29</v>
      </c>
      <c r="N5" s="161" t="s">
        <v>28</v>
      </c>
      <c r="O5" s="38" t="s">
        <v>29</v>
      </c>
      <c r="P5" s="160" t="s">
        <v>28</v>
      </c>
      <c r="Q5" s="147" t="s">
        <v>29</v>
      </c>
      <c r="R5" s="160" t="s">
        <v>28</v>
      </c>
      <c r="S5" s="147" t="s">
        <v>29</v>
      </c>
      <c r="T5" s="47"/>
      <c r="U5" s="47"/>
      <c r="V5" s="40" t="s">
        <v>28</v>
      </c>
      <c r="W5" s="41" t="s">
        <v>29</v>
      </c>
      <c r="X5" s="41" t="s">
        <v>28</v>
      </c>
      <c r="Y5" s="49" t="s">
        <v>29</v>
      </c>
      <c r="Z5" s="41" t="s">
        <v>28</v>
      </c>
      <c r="AA5" s="140" t="s">
        <v>29</v>
      </c>
      <c r="AB5" s="162" t="s">
        <v>28</v>
      </c>
      <c r="AC5" s="51" t="s">
        <v>29</v>
      </c>
      <c r="AD5" s="149" t="s">
        <v>26</v>
      </c>
      <c r="AE5" s="45" t="s">
        <v>27</v>
      </c>
      <c r="AF5" s="163" t="s">
        <v>28</v>
      </c>
      <c r="AG5" s="49" t="s">
        <v>29</v>
      </c>
      <c r="AH5" s="41" t="s">
        <v>28</v>
      </c>
      <c r="AI5" s="140" t="s">
        <v>29</v>
      </c>
      <c r="AJ5" s="164" t="s">
        <v>28</v>
      </c>
      <c r="AK5" s="141" t="s">
        <v>29</v>
      </c>
      <c r="AL5" s="165">
        <v>2.8</v>
      </c>
      <c r="AM5" s="165">
        <v>3</v>
      </c>
      <c r="AN5" s="166">
        <v>3.5</v>
      </c>
      <c r="AO5" s="165">
        <v>2.8</v>
      </c>
      <c r="AP5" s="165">
        <v>3</v>
      </c>
      <c r="AQ5" s="166">
        <v>3.5</v>
      </c>
      <c r="AR5" s="165">
        <v>2.8</v>
      </c>
      <c r="AS5" s="165">
        <v>3</v>
      </c>
      <c r="AT5" s="166">
        <v>3.5</v>
      </c>
    </row>
    <row r="6" s="26" customFormat="1" ht="23" customHeight="1" spans="1:49">
      <c r="A6" s="52" t="s">
        <v>45</v>
      </c>
      <c r="B6" s="52"/>
      <c r="C6" s="53">
        <v>25134</v>
      </c>
      <c r="D6" s="53"/>
      <c r="E6" s="53">
        <f>400906-8910</f>
        <v>391996</v>
      </c>
      <c r="F6" s="53"/>
      <c r="G6" s="54"/>
      <c r="H6" s="53"/>
      <c r="I6" s="53"/>
      <c r="J6" s="53"/>
      <c r="K6" s="53"/>
      <c r="L6" s="53"/>
      <c r="M6" s="53">
        <v>71402</v>
      </c>
      <c r="N6" s="53"/>
      <c r="O6" s="53">
        <v>1831000</v>
      </c>
      <c r="P6" s="53"/>
      <c r="Q6" s="53"/>
      <c r="R6" s="53"/>
      <c r="S6" s="54"/>
      <c r="T6" s="53">
        <f t="shared" ref="T6:T18" si="0">C6+F6+H6+J6+M6+Q6+B6+L6+P6</f>
        <v>96536</v>
      </c>
      <c r="U6" s="53">
        <f t="shared" ref="U6:U18" si="1">E6+G6+I6+K6+O6+S6+D6+N6+R6</f>
        <v>2222996</v>
      </c>
      <c r="V6" s="53" t="e">
        <f t="shared" ref="V6:V19" si="2">(D6+N6+R6)/(B6+L6+P6)</f>
        <v>#DIV/0!</v>
      </c>
      <c r="W6" s="56">
        <f t="shared" ref="W6:W19" si="3">(E6+O6+S6)/(C6+M6+Q6)</f>
        <v>23.027637358084</v>
      </c>
      <c r="X6" s="56"/>
      <c r="Y6" s="53">
        <v>14739</v>
      </c>
      <c r="Z6" s="53"/>
      <c r="AA6" s="53">
        <v>180866</v>
      </c>
      <c r="AB6" s="167" t="e">
        <f t="shared" ref="AB6:AB19" si="4">Z6/X6</f>
        <v>#DIV/0!</v>
      </c>
      <c r="AC6" s="57">
        <f t="shared" ref="AC6:AC19" si="5">AA6/Y6</f>
        <v>12.2712531379334</v>
      </c>
      <c r="AD6" s="168" t="e">
        <f t="shared" ref="AD6:AD19" si="6">(D6+N6+R6+Z6)/(B6+L6+P6+X6)</f>
        <v>#DIV/0!</v>
      </c>
      <c r="AE6" s="58">
        <f t="shared" ref="AE6:AE19" si="7">(E6+O6+S6+AA6)/(C6+M6+Q6+Y6)</f>
        <v>21.6028937317457</v>
      </c>
      <c r="AF6" s="169"/>
      <c r="AG6" s="53"/>
      <c r="AH6" s="53"/>
      <c r="AI6" s="53"/>
      <c r="AJ6" s="53" t="e">
        <f t="shared" ref="AJ6:AJ19" si="8">AH6/AF6</f>
        <v>#DIV/0!</v>
      </c>
      <c r="AK6" s="170" t="e">
        <f t="shared" ref="AK6:AK19" si="9">AI6/AG6</f>
        <v>#DIV/0!</v>
      </c>
      <c r="AL6" s="171"/>
      <c r="AM6" s="171"/>
      <c r="AN6" s="171"/>
      <c r="AO6" s="171"/>
      <c r="AP6" s="171"/>
      <c r="AQ6" s="171"/>
      <c r="AR6" s="171"/>
      <c r="AS6" s="171"/>
      <c r="AT6" s="171"/>
    </row>
    <row r="7" s="26" customFormat="1" ht="23" customHeight="1" spans="1:49">
      <c r="A7" s="52" t="s">
        <v>38</v>
      </c>
      <c r="B7" s="52"/>
      <c r="C7" s="53">
        <v>13835</v>
      </c>
      <c r="D7" s="53"/>
      <c r="E7" s="53">
        <f>201151-24095</f>
        <v>177056</v>
      </c>
      <c r="F7" s="53"/>
      <c r="G7" s="54"/>
      <c r="H7" s="53"/>
      <c r="I7" s="53"/>
      <c r="J7" s="53"/>
      <c r="K7" s="53"/>
      <c r="L7" s="53"/>
      <c r="M7" s="53">
        <v>34560</v>
      </c>
      <c r="N7" s="53"/>
      <c r="O7" s="53">
        <v>879760</v>
      </c>
      <c r="P7" s="53"/>
      <c r="Q7" s="53">
        <v>1240</v>
      </c>
      <c r="R7" s="53"/>
      <c r="S7" s="53">
        <f>58619-27560</f>
        <v>31059</v>
      </c>
      <c r="T7" s="53">
        <f t="shared" si="0"/>
        <v>49635</v>
      </c>
      <c r="U7" s="53">
        <f t="shared" si="1"/>
        <v>1087875</v>
      </c>
      <c r="V7" s="53" t="e">
        <f t="shared" si="2"/>
        <v>#DIV/0!</v>
      </c>
      <c r="W7" s="56">
        <f t="shared" si="3"/>
        <v>21.9174977334542</v>
      </c>
      <c r="X7" s="56"/>
      <c r="Y7" s="53">
        <v>11771</v>
      </c>
      <c r="Z7" s="53"/>
      <c r="AA7" s="53">
        <f>92904-507</f>
        <v>92397</v>
      </c>
      <c r="AB7" s="167" t="e">
        <f t="shared" si="4"/>
        <v>#DIV/0!</v>
      </c>
      <c r="AC7" s="57">
        <f t="shared" si="5"/>
        <v>7.84954549316116</v>
      </c>
      <c r="AD7" s="168" t="e">
        <f t="shared" si="6"/>
        <v>#DIV/0!</v>
      </c>
      <c r="AE7" s="58">
        <f t="shared" si="7"/>
        <v>19.2207927564082</v>
      </c>
      <c r="AF7" s="169"/>
      <c r="AG7" s="53"/>
      <c r="AH7" s="53"/>
      <c r="AI7" s="53"/>
      <c r="AJ7" s="53" t="e">
        <f t="shared" si="8"/>
        <v>#DIV/0!</v>
      </c>
      <c r="AK7" s="170" t="e">
        <f t="shared" si="9"/>
        <v>#DIV/0!</v>
      </c>
      <c r="AL7" s="171"/>
      <c r="AM7" s="171"/>
      <c r="AN7" s="171"/>
      <c r="AO7" s="171"/>
      <c r="AP7" s="171"/>
      <c r="AQ7" s="171"/>
      <c r="AR7" s="171"/>
      <c r="AS7" s="171"/>
      <c r="AT7" s="171"/>
    </row>
    <row r="8" s="26" customFormat="1" ht="23" customHeight="1" spans="1:49">
      <c r="A8" s="52" t="s">
        <v>39</v>
      </c>
      <c r="B8" s="52"/>
      <c r="C8" s="53">
        <v>24964</v>
      </c>
      <c r="D8" s="53"/>
      <c r="E8" s="53">
        <f>426350-4500</f>
        <v>421850</v>
      </c>
      <c r="F8" s="53"/>
      <c r="G8" s="53"/>
      <c r="H8" s="53">
        <v>30000</v>
      </c>
      <c r="I8" s="53">
        <f>258900-3900</f>
        <v>255000</v>
      </c>
      <c r="J8" s="53"/>
      <c r="K8" s="53"/>
      <c r="L8" s="53"/>
      <c r="M8" s="53"/>
      <c r="N8" s="53"/>
      <c r="O8" s="53"/>
      <c r="P8" s="53"/>
      <c r="Q8" s="53">
        <v>320</v>
      </c>
      <c r="R8" s="53"/>
      <c r="S8" s="55">
        <v>8320</v>
      </c>
      <c r="T8" s="53">
        <f t="shared" si="0"/>
        <v>55284</v>
      </c>
      <c r="U8" s="53">
        <f t="shared" si="1"/>
        <v>685170</v>
      </c>
      <c r="V8" s="53" t="e">
        <f t="shared" si="2"/>
        <v>#DIV/0!</v>
      </c>
      <c r="W8" s="56">
        <f t="shared" si="3"/>
        <v>17.0135263407689</v>
      </c>
      <c r="X8" s="56"/>
      <c r="Y8" s="53">
        <v>6934</v>
      </c>
      <c r="Z8" s="53"/>
      <c r="AA8" s="53">
        <f>109224-368</f>
        <v>108856</v>
      </c>
      <c r="AB8" s="167" t="e">
        <f t="shared" si="4"/>
        <v>#DIV/0!</v>
      </c>
      <c r="AC8" s="57">
        <f t="shared" si="5"/>
        <v>15.6988751081627</v>
      </c>
      <c r="AD8" s="168" t="e">
        <f t="shared" si="6"/>
        <v>#DIV/0!</v>
      </c>
      <c r="AE8" s="58">
        <f t="shared" si="7"/>
        <v>16.7305853870507</v>
      </c>
      <c r="AF8" s="169"/>
      <c r="AG8" s="53"/>
      <c r="AH8" s="53"/>
      <c r="AI8" s="53"/>
      <c r="AJ8" s="53" t="e">
        <f t="shared" si="8"/>
        <v>#DIV/0!</v>
      </c>
      <c r="AK8" s="170" t="e">
        <f t="shared" si="9"/>
        <v>#DIV/0!</v>
      </c>
      <c r="AL8" s="171"/>
      <c r="AM8" s="171"/>
      <c r="AN8" s="171"/>
      <c r="AO8" s="171"/>
      <c r="AP8" s="171"/>
      <c r="AQ8" s="171"/>
      <c r="AR8" s="171"/>
      <c r="AS8" s="171"/>
      <c r="AT8" s="171"/>
    </row>
    <row r="9" s="26" customFormat="1" ht="23" customHeight="1" spans="1:49">
      <c r="A9" s="52" t="s">
        <v>40</v>
      </c>
      <c r="B9" s="52">
        <v>2462</v>
      </c>
      <c r="C9" s="53">
        <v>23352</v>
      </c>
      <c r="D9" s="53">
        <v>32251</v>
      </c>
      <c r="E9" s="53">
        <v>403004</v>
      </c>
      <c r="F9" s="53"/>
      <c r="G9" s="54"/>
      <c r="H9" s="53"/>
      <c r="I9" s="53"/>
      <c r="J9" s="53"/>
      <c r="K9" s="53"/>
      <c r="L9" s="53">
        <v>31200</v>
      </c>
      <c r="M9" s="53"/>
      <c r="N9" s="53">
        <v>530400</v>
      </c>
      <c r="O9" s="53"/>
      <c r="P9" s="53">
        <v>560</v>
      </c>
      <c r="Q9" s="53">
        <v>300</v>
      </c>
      <c r="R9" s="53">
        <v>13660</v>
      </c>
      <c r="S9" s="55">
        <v>7800</v>
      </c>
      <c r="T9" s="53">
        <f t="shared" si="0"/>
        <v>57874</v>
      </c>
      <c r="U9" s="53">
        <f t="shared" si="1"/>
        <v>987115</v>
      </c>
      <c r="V9" s="56">
        <f t="shared" si="2"/>
        <v>16.8403658465315</v>
      </c>
      <c r="W9" s="56">
        <f t="shared" si="3"/>
        <v>17.3686791814646</v>
      </c>
      <c r="X9" s="172">
        <v>1038</v>
      </c>
      <c r="Y9" s="53">
        <v>9151</v>
      </c>
      <c r="Z9" s="53">
        <v>13374</v>
      </c>
      <c r="AA9" s="53">
        <v>134558</v>
      </c>
      <c r="AB9" s="168">
        <f t="shared" si="4"/>
        <v>12.8843930635838</v>
      </c>
      <c r="AC9" s="57">
        <f t="shared" si="5"/>
        <v>14.7041853349361</v>
      </c>
      <c r="AD9" s="168">
        <f t="shared" si="6"/>
        <v>16.7239081111741</v>
      </c>
      <c r="AE9" s="58">
        <f t="shared" si="7"/>
        <v>16.6253696308264</v>
      </c>
      <c r="AF9" s="173"/>
      <c r="AG9" s="53"/>
      <c r="AH9" s="53"/>
      <c r="AI9" s="53"/>
      <c r="AJ9" s="53" t="e">
        <f t="shared" si="8"/>
        <v>#DIV/0!</v>
      </c>
      <c r="AK9" s="170" t="e">
        <f t="shared" si="9"/>
        <v>#DIV/0!</v>
      </c>
      <c r="AL9" s="171"/>
      <c r="AM9" s="171"/>
      <c r="AN9" s="171"/>
      <c r="AO9" s="171"/>
      <c r="AP9" s="171"/>
      <c r="AQ9" s="171"/>
      <c r="AR9" s="171"/>
      <c r="AS9" s="171"/>
      <c r="AT9" s="171"/>
    </row>
    <row r="10" s="26" customFormat="1" ht="23" customHeight="1" spans="1:49">
      <c r="A10" s="52" t="s">
        <v>158</v>
      </c>
      <c r="B10" s="52">
        <v>3016</v>
      </c>
      <c r="C10" s="53">
        <v>32151</v>
      </c>
      <c r="D10" s="53">
        <v>42309</v>
      </c>
      <c r="E10" s="53">
        <v>516521</v>
      </c>
      <c r="F10" s="53"/>
      <c r="G10" s="55"/>
      <c r="H10" s="53"/>
      <c r="I10" s="53"/>
      <c r="J10" s="53"/>
      <c r="K10" s="53"/>
      <c r="L10" s="53">
        <v>12480</v>
      </c>
      <c r="M10" s="53">
        <v>10000</v>
      </c>
      <c r="N10" s="53">
        <f>212160-1497</f>
        <v>210663</v>
      </c>
      <c r="O10" s="53">
        <f>260000-1303</f>
        <v>258697</v>
      </c>
      <c r="P10" s="53">
        <v>1904</v>
      </c>
      <c r="Q10" s="53">
        <v>1500</v>
      </c>
      <c r="R10" s="53">
        <v>32368</v>
      </c>
      <c r="S10" s="55">
        <v>40400</v>
      </c>
      <c r="T10" s="53">
        <f t="shared" si="0"/>
        <v>61051</v>
      </c>
      <c r="U10" s="53">
        <f t="shared" si="1"/>
        <v>1100958</v>
      </c>
      <c r="V10" s="56">
        <f t="shared" si="2"/>
        <v>16.3988505747126</v>
      </c>
      <c r="W10" s="56">
        <f t="shared" si="3"/>
        <v>18.6849785801013</v>
      </c>
      <c r="X10" s="172">
        <v>3420</v>
      </c>
      <c r="Y10" s="53">
        <v>11335</v>
      </c>
      <c r="Z10" s="53">
        <v>39536</v>
      </c>
      <c r="AA10" s="53">
        <v>150619</v>
      </c>
      <c r="AB10" s="167">
        <f t="shared" si="4"/>
        <v>11.5602339181287</v>
      </c>
      <c r="AC10" s="57">
        <f t="shared" si="5"/>
        <v>13.2879576532863</v>
      </c>
      <c r="AD10" s="168">
        <f t="shared" si="6"/>
        <v>15.6040345821326</v>
      </c>
      <c r="AE10" s="58">
        <f t="shared" si="7"/>
        <v>17.5724184337831</v>
      </c>
      <c r="AF10" s="173"/>
      <c r="AG10" s="53"/>
      <c r="AH10" s="53"/>
      <c r="AI10" s="53"/>
      <c r="AJ10" s="53" t="e">
        <f t="shared" si="8"/>
        <v>#DIV/0!</v>
      </c>
      <c r="AK10" s="170" t="e">
        <f t="shared" si="9"/>
        <v>#DIV/0!</v>
      </c>
      <c r="AL10" s="171"/>
      <c r="AM10" s="171"/>
      <c r="AN10" s="171"/>
      <c r="AO10" s="171"/>
      <c r="AP10" s="171"/>
      <c r="AQ10" s="171"/>
      <c r="AR10" s="171"/>
      <c r="AS10" s="171"/>
      <c r="AT10" s="171"/>
    </row>
    <row r="11" s="26" customFormat="1" ht="23" customHeight="1" spans="1:49">
      <c r="A11" s="52" t="s">
        <v>159</v>
      </c>
      <c r="B11" s="52">
        <v>1646</v>
      </c>
      <c r="C11" s="53">
        <v>24381</v>
      </c>
      <c r="D11" s="53">
        <v>25801</v>
      </c>
      <c r="E11" s="53">
        <v>382617</v>
      </c>
      <c r="F11" s="53"/>
      <c r="G11" s="54"/>
      <c r="H11" s="53"/>
      <c r="I11" s="53"/>
      <c r="J11" s="53"/>
      <c r="K11" s="53"/>
      <c r="L11" s="53">
        <v>1800</v>
      </c>
      <c r="M11" s="53">
        <v>15300</v>
      </c>
      <c r="N11" s="53">
        <v>38700</v>
      </c>
      <c r="O11" s="53">
        <v>382500</v>
      </c>
      <c r="P11" s="53">
        <v>3098</v>
      </c>
      <c r="Q11" s="53">
        <v>3102</v>
      </c>
      <c r="R11" s="53">
        <v>54104</v>
      </c>
      <c r="S11" s="55">
        <v>77150</v>
      </c>
      <c r="T11" s="53">
        <f t="shared" si="0"/>
        <v>49327</v>
      </c>
      <c r="U11" s="53">
        <f t="shared" si="1"/>
        <v>960872</v>
      </c>
      <c r="V11" s="56">
        <f t="shared" si="2"/>
        <v>18.1242359413203</v>
      </c>
      <c r="W11" s="56">
        <f t="shared" si="3"/>
        <v>19.6869550989879</v>
      </c>
      <c r="X11" s="172">
        <v>1481</v>
      </c>
      <c r="Y11" s="53">
        <v>10286</v>
      </c>
      <c r="Z11" s="53">
        <v>18715</v>
      </c>
      <c r="AA11" s="53">
        <v>140811</v>
      </c>
      <c r="AB11" s="167">
        <f t="shared" si="4"/>
        <v>12.6367319378798</v>
      </c>
      <c r="AC11" s="57">
        <f t="shared" si="5"/>
        <v>13.6895780672759</v>
      </c>
      <c r="AD11" s="168">
        <f t="shared" si="6"/>
        <v>17.1115264797508</v>
      </c>
      <c r="AE11" s="58">
        <f t="shared" si="7"/>
        <v>18.5245246754226</v>
      </c>
      <c r="AF11" s="173"/>
      <c r="AG11" s="53"/>
      <c r="AH11" s="53"/>
      <c r="AI11" s="53"/>
      <c r="AJ11" s="53" t="e">
        <f t="shared" si="8"/>
        <v>#DIV/0!</v>
      </c>
      <c r="AK11" s="170" t="e">
        <f t="shared" si="9"/>
        <v>#DIV/0!</v>
      </c>
      <c r="AL11" s="171"/>
      <c r="AM11" s="171"/>
      <c r="AN11" s="171"/>
      <c r="AO11" s="171"/>
      <c r="AP11" s="171"/>
      <c r="AQ11" s="171"/>
      <c r="AR11" s="171"/>
      <c r="AS11" s="171"/>
      <c r="AT11" s="171"/>
    </row>
    <row r="12" s="26" customFormat="1" ht="23" customHeight="1" spans="1:49">
      <c r="A12" s="52" t="s">
        <v>160</v>
      </c>
      <c r="B12" s="52">
        <f>4932</f>
        <v>4932</v>
      </c>
      <c r="C12" s="53">
        <f>24361</f>
        <v>24361</v>
      </c>
      <c r="D12" s="53">
        <f>71042-52</f>
        <v>70990</v>
      </c>
      <c r="E12" s="53">
        <f>437027-240</f>
        <v>436787</v>
      </c>
      <c r="F12" s="53"/>
      <c r="G12" s="54"/>
      <c r="H12" s="53"/>
      <c r="I12" s="53"/>
      <c r="J12" s="53">
        <v>120</v>
      </c>
      <c r="K12" s="53">
        <v>720</v>
      </c>
      <c r="L12" s="53">
        <v>76080</v>
      </c>
      <c r="M12" s="53">
        <v>22996</v>
      </c>
      <c r="N12" s="53">
        <v>1278144</v>
      </c>
      <c r="O12" s="172">
        <v>557944</v>
      </c>
      <c r="P12" s="172">
        <f>3492+982</f>
        <v>4474</v>
      </c>
      <c r="Q12" s="53">
        <f>5279+440</f>
        <v>5719</v>
      </c>
      <c r="R12" s="53">
        <f>59248+16694</f>
        <v>75942</v>
      </c>
      <c r="S12" s="55">
        <f>127558+10880</f>
        <v>138438</v>
      </c>
      <c r="T12" s="53">
        <f t="shared" si="0"/>
        <v>138682</v>
      </c>
      <c r="U12" s="53">
        <f t="shared" si="1"/>
        <v>2558965</v>
      </c>
      <c r="V12" s="56">
        <f t="shared" si="2"/>
        <v>16.6702851928971</v>
      </c>
      <c r="W12" s="56">
        <f t="shared" si="3"/>
        <v>21.3499321727334</v>
      </c>
      <c r="X12" s="172">
        <v>1871</v>
      </c>
      <c r="Y12" s="53">
        <v>8019</v>
      </c>
      <c r="Z12" s="53">
        <v>24953</v>
      </c>
      <c r="AA12" s="53">
        <v>104375</v>
      </c>
      <c r="AB12" s="167">
        <f t="shared" si="4"/>
        <v>13.3367183324425</v>
      </c>
      <c r="AC12" s="57">
        <f t="shared" si="5"/>
        <v>13.0159620900362</v>
      </c>
      <c r="AD12" s="168">
        <f t="shared" si="6"/>
        <v>16.5988873244273</v>
      </c>
      <c r="AE12" s="58">
        <f t="shared" si="7"/>
        <v>20.2560602340617</v>
      </c>
      <c r="AF12" s="173"/>
      <c r="AG12" s="53"/>
      <c r="AH12" s="53"/>
      <c r="AI12" s="53"/>
      <c r="AJ12" s="53" t="e">
        <f t="shared" si="8"/>
        <v>#DIV/0!</v>
      </c>
      <c r="AK12" s="170" t="e">
        <f t="shared" si="9"/>
        <v>#DIV/0!</v>
      </c>
      <c r="AL12" s="171"/>
      <c r="AM12" s="171"/>
      <c r="AN12" s="171"/>
      <c r="AO12" s="171"/>
      <c r="AP12" s="171"/>
      <c r="AQ12" s="171"/>
      <c r="AR12" s="171"/>
      <c r="AS12" s="171"/>
      <c r="AT12" s="171"/>
    </row>
    <row r="13" s="26" customFormat="1" ht="23" customHeight="1" spans="1:49">
      <c r="A13" s="52" t="s">
        <v>161</v>
      </c>
      <c r="B13" s="52">
        <v>3328</v>
      </c>
      <c r="C13" s="53">
        <v>25620</v>
      </c>
      <c r="D13" s="53">
        <v>52587</v>
      </c>
      <c r="E13" s="53">
        <f>447226-180-24</f>
        <v>447022</v>
      </c>
      <c r="F13" s="53"/>
      <c r="G13" s="54"/>
      <c r="H13" s="53"/>
      <c r="I13" s="53"/>
      <c r="J13" s="53">
        <v>9</v>
      </c>
      <c r="K13" s="53">
        <v>180</v>
      </c>
      <c r="L13" s="53">
        <v>10296</v>
      </c>
      <c r="M13" s="53">
        <v>32128</v>
      </c>
      <c r="N13" s="53">
        <v>172972.8</v>
      </c>
      <c r="O13" s="53">
        <v>754217</v>
      </c>
      <c r="P13" s="53">
        <v>4190</v>
      </c>
      <c r="Q13" s="53">
        <f>7624+1000</f>
        <v>8624</v>
      </c>
      <c r="R13" s="53">
        <v>69946</v>
      </c>
      <c r="S13" s="55">
        <f>190804+24032</f>
        <v>214836</v>
      </c>
      <c r="T13" s="53">
        <f t="shared" si="0"/>
        <v>84195</v>
      </c>
      <c r="U13" s="53">
        <f t="shared" si="1"/>
        <v>1711760.8</v>
      </c>
      <c r="V13" s="53">
        <f t="shared" si="2"/>
        <v>16.5884023801504</v>
      </c>
      <c r="W13" s="56">
        <f t="shared" si="3"/>
        <v>21.3354275899476</v>
      </c>
      <c r="X13" s="172">
        <v>3136</v>
      </c>
      <c r="Y13" s="53">
        <v>6153</v>
      </c>
      <c r="Z13" s="53">
        <v>33480</v>
      </c>
      <c r="AA13" s="53">
        <v>92532</v>
      </c>
      <c r="AB13" s="167">
        <f t="shared" si="4"/>
        <v>10.6760204081633</v>
      </c>
      <c r="AC13" s="57">
        <f t="shared" si="5"/>
        <v>15.038517796197</v>
      </c>
      <c r="AD13" s="168">
        <f t="shared" si="6"/>
        <v>15.7033794749403</v>
      </c>
      <c r="AE13" s="58">
        <f t="shared" si="7"/>
        <v>20.8011995863495</v>
      </c>
      <c r="AF13" s="173"/>
      <c r="AG13" s="53"/>
      <c r="AH13" s="53"/>
      <c r="AI13" s="53"/>
      <c r="AJ13" s="53" t="e">
        <f t="shared" si="8"/>
        <v>#DIV/0!</v>
      </c>
      <c r="AK13" s="170" t="e">
        <f t="shared" si="9"/>
        <v>#DIV/0!</v>
      </c>
      <c r="AL13" s="171"/>
      <c r="AM13" s="171"/>
      <c r="AN13" s="171"/>
      <c r="AO13" s="171"/>
      <c r="AP13" s="171"/>
      <c r="AQ13" s="171"/>
      <c r="AR13" s="171"/>
      <c r="AS13" s="171"/>
      <c r="AT13" s="171"/>
    </row>
    <row r="14" s="26" customFormat="1" ht="23" customHeight="1" spans="1:49">
      <c r="A14" s="52" t="s">
        <v>162</v>
      </c>
      <c r="B14" s="52">
        <v>5860</v>
      </c>
      <c r="C14" s="53">
        <v>31848</v>
      </c>
      <c r="D14" s="53">
        <v>89637</v>
      </c>
      <c r="E14" s="53">
        <v>579917</v>
      </c>
      <c r="F14" s="53"/>
      <c r="G14" s="54"/>
      <c r="H14" s="53"/>
      <c r="I14" s="53"/>
      <c r="J14" s="53">
        <v>10794</v>
      </c>
      <c r="K14" s="53">
        <v>183498</v>
      </c>
      <c r="L14" s="53"/>
      <c r="M14" s="53"/>
      <c r="N14" s="53"/>
      <c r="O14" s="53"/>
      <c r="P14" s="53">
        <v>54590</v>
      </c>
      <c r="Q14" s="53">
        <v>9096</v>
      </c>
      <c r="R14" s="53">
        <v>917695.6</v>
      </c>
      <c r="S14" s="54">
        <v>223879.5</v>
      </c>
      <c r="T14" s="53">
        <f t="shared" si="0"/>
        <v>112188</v>
      </c>
      <c r="U14" s="53">
        <f t="shared" si="1"/>
        <v>1994627.1</v>
      </c>
      <c r="V14" s="53">
        <f t="shared" si="2"/>
        <v>16.6638974358974</v>
      </c>
      <c r="W14" s="56">
        <f t="shared" si="3"/>
        <v>19.6316065846034</v>
      </c>
      <c r="X14" s="172">
        <v>3617</v>
      </c>
      <c r="Y14" s="53">
        <v>10224</v>
      </c>
      <c r="Z14" s="53">
        <v>41954</v>
      </c>
      <c r="AA14" s="53">
        <v>129036</v>
      </c>
      <c r="AB14" s="167">
        <f t="shared" si="4"/>
        <v>11.5991152889135</v>
      </c>
      <c r="AC14" s="57">
        <f t="shared" si="5"/>
        <v>12.6208920187793</v>
      </c>
      <c r="AD14" s="168">
        <f t="shared" si="6"/>
        <v>16.3779574507937</v>
      </c>
      <c r="AE14" s="58">
        <f t="shared" si="7"/>
        <v>18.2307790025016</v>
      </c>
      <c r="AF14" s="169"/>
      <c r="AG14" s="53">
        <v>85</v>
      </c>
      <c r="AH14" s="53"/>
      <c r="AI14" s="53">
        <v>2057</v>
      </c>
      <c r="AJ14" s="53" t="e">
        <f t="shared" si="8"/>
        <v>#DIV/0!</v>
      </c>
      <c r="AK14" s="57">
        <f t="shared" si="9"/>
        <v>24.2</v>
      </c>
      <c r="AL14" s="174"/>
      <c r="AM14" s="174"/>
      <c r="AN14" s="174"/>
      <c r="AO14" s="174"/>
      <c r="AP14" s="174"/>
      <c r="AQ14" s="174"/>
      <c r="AR14" s="174"/>
      <c r="AS14" s="174"/>
      <c r="AT14" s="174"/>
      <c r="AU14" s="175"/>
      <c r="AV14" s="175"/>
      <c r="AW14" s="175"/>
    </row>
    <row r="15" s="26" customFormat="1" ht="23" customHeight="1" spans="1:49">
      <c r="A15" s="52" t="s">
        <v>163</v>
      </c>
      <c r="B15" s="52">
        <v>5757</v>
      </c>
      <c r="C15" s="53">
        <v>34463</v>
      </c>
      <c r="D15" s="53">
        <f>98418+13</f>
        <v>98431</v>
      </c>
      <c r="E15" s="53">
        <f>617967-17</f>
        <v>617950</v>
      </c>
      <c r="F15" s="53"/>
      <c r="G15" s="54"/>
      <c r="H15" s="53"/>
      <c r="I15" s="53"/>
      <c r="J15" s="53"/>
      <c r="K15" s="53"/>
      <c r="L15" s="53"/>
      <c r="M15" s="53">
        <v>33600</v>
      </c>
      <c r="N15" s="53"/>
      <c r="O15" s="53">
        <v>756000</v>
      </c>
      <c r="P15" s="53">
        <v>786</v>
      </c>
      <c r="Q15" s="53">
        <v>4652</v>
      </c>
      <c r="R15" s="53">
        <v>12868</v>
      </c>
      <c r="S15" s="172">
        <v>111143.5</v>
      </c>
      <c r="T15" s="53">
        <f t="shared" si="0"/>
        <v>79258</v>
      </c>
      <c r="U15" s="53">
        <f t="shared" si="1"/>
        <v>1596392.5</v>
      </c>
      <c r="V15" s="53">
        <f t="shared" si="2"/>
        <v>17.0103927861837</v>
      </c>
      <c r="W15" s="56">
        <f t="shared" si="3"/>
        <v>20.4234820876023</v>
      </c>
      <c r="X15" s="176">
        <v>3557</v>
      </c>
      <c r="Y15" s="53">
        <v>14887</v>
      </c>
      <c r="Z15" s="53">
        <v>38109</v>
      </c>
      <c r="AA15" s="53">
        <v>204266</v>
      </c>
      <c r="AB15" s="167">
        <f t="shared" si="4"/>
        <v>10.7138037672196</v>
      </c>
      <c r="AC15" s="57">
        <f t="shared" si="5"/>
        <v>13.7210989453886</v>
      </c>
      <c r="AD15" s="168">
        <f t="shared" si="6"/>
        <v>14.7928712871287</v>
      </c>
      <c r="AE15" s="58">
        <f t="shared" si="7"/>
        <v>19.2844855140294</v>
      </c>
      <c r="AF15" s="169"/>
      <c r="AG15" s="53">
        <v>129</v>
      </c>
      <c r="AH15" s="53"/>
      <c r="AI15" s="53">
        <v>2837</v>
      </c>
      <c r="AJ15" s="53" t="e">
        <f t="shared" si="8"/>
        <v>#DIV/0!</v>
      </c>
      <c r="AK15" s="170">
        <f t="shared" si="9"/>
        <v>21.9922480620155</v>
      </c>
      <c r="AL15" s="174"/>
      <c r="AM15" s="174"/>
      <c r="AN15" s="174"/>
      <c r="AO15" s="174"/>
      <c r="AP15" s="174"/>
      <c r="AQ15" s="174"/>
      <c r="AR15" s="174"/>
      <c r="AS15" s="174"/>
      <c r="AT15" s="174"/>
      <c r="AU15" s="175"/>
      <c r="AV15" s="175"/>
      <c r="AW15" s="175"/>
    </row>
    <row r="16" s="26" customFormat="1" ht="23" customHeight="1" spans="1:49">
      <c r="A16" s="52" t="s">
        <v>164</v>
      </c>
      <c r="B16" s="52">
        <v>2539</v>
      </c>
      <c r="C16" s="53">
        <v>29218</v>
      </c>
      <c r="D16" s="53">
        <v>52184</v>
      </c>
      <c r="E16" s="53">
        <v>609859</v>
      </c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>
        <v>5206</v>
      </c>
      <c r="R16" s="53"/>
      <c r="S16" s="55">
        <f>123260.06+168</f>
        <v>123428.06</v>
      </c>
      <c r="T16" s="53">
        <f t="shared" si="0"/>
        <v>36963</v>
      </c>
      <c r="U16" s="53">
        <f t="shared" si="1"/>
        <v>785471.06</v>
      </c>
      <c r="V16" s="53">
        <f t="shared" si="2"/>
        <v>20.5529736116581</v>
      </c>
      <c r="W16" s="56">
        <f t="shared" si="3"/>
        <v>21.3016227050895</v>
      </c>
      <c r="X16" s="172">
        <v>1534</v>
      </c>
      <c r="Y16" s="53">
        <v>12856</v>
      </c>
      <c r="Z16" s="53">
        <v>23664</v>
      </c>
      <c r="AA16" s="53">
        <v>188352.01</v>
      </c>
      <c r="AB16" s="167">
        <f t="shared" si="4"/>
        <v>15.4263363754889</v>
      </c>
      <c r="AC16" s="57">
        <f t="shared" si="5"/>
        <v>14.6509030802738</v>
      </c>
      <c r="AD16" s="168">
        <f t="shared" si="6"/>
        <v>18.6221458384483</v>
      </c>
      <c r="AE16" s="58">
        <f t="shared" si="7"/>
        <v>19.4932121404399</v>
      </c>
      <c r="AF16" s="169"/>
      <c r="AG16" s="53">
        <v>71</v>
      </c>
      <c r="AH16" s="53"/>
      <c r="AI16" s="53">
        <v>1829</v>
      </c>
      <c r="AJ16" s="53" t="e">
        <f t="shared" si="8"/>
        <v>#DIV/0!</v>
      </c>
      <c r="AK16" s="170">
        <f t="shared" si="9"/>
        <v>25.7605633802817</v>
      </c>
      <c r="AL16" s="174"/>
      <c r="AM16" s="174"/>
      <c r="AN16" s="174"/>
      <c r="AO16" s="174"/>
      <c r="AP16" s="174"/>
      <c r="AQ16" s="174"/>
      <c r="AR16" s="174"/>
      <c r="AS16" s="174"/>
      <c r="AT16" s="174"/>
      <c r="AU16" s="175"/>
      <c r="AV16" s="175"/>
      <c r="AW16" s="175"/>
    </row>
    <row r="17" s="26" customFormat="1" ht="23" customHeight="1" spans="1:49">
      <c r="A17" s="52" t="s">
        <v>36</v>
      </c>
      <c r="B17" s="52">
        <v>3068</v>
      </c>
      <c r="C17" s="53">
        <v>56074</v>
      </c>
      <c r="D17" s="53">
        <v>56926</v>
      </c>
      <c r="E17" s="53">
        <f>1118876-1604</f>
        <v>1117272</v>
      </c>
      <c r="F17" s="53"/>
      <c r="G17" s="54"/>
      <c r="H17" s="53"/>
      <c r="I17" s="53"/>
      <c r="J17" s="53">
        <v>1458</v>
      </c>
      <c r="K17" s="53">
        <v>5103</v>
      </c>
      <c r="L17" s="53"/>
      <c r="M17" s="53"/>
      <c r="N17" s="53"/>
      <c r="O17" s="53"/>
      <c r="P17" s="53">
        <v>1706</v>
      </c>
      <c r="Q17" s="53">
        <v>102167</v>
      </c>
      <c r="R17" s="53">
        <v>30822</v>
      </c>
      <c r="S17" s="55">
        <v>2402064</v>
      </c>
      <c r="T17" s="53">
        <f t="shared" si="0"/>
        <v>164473</v>
      </c>
      <c r="U17" s="53">
        <f t="shared" si="1"/>
        <v>3612187</v>
      </c>
      <c r="V17" s="53">
        <f t="shared" si="2"/>
        <v>18.3803937997486</v>
      </c>
      <c r="W17" s="56">
        <f t="shared" si="3"/>
        <v>22.2403549017006</v>
      </c>
      <c r="X17" s="172">
        <v>649</v>
      </c>
      <c r="Y17" s="53">
        <v>19906</v>
      </c>
      <c r="Z17" s="53">
        <v>11591</v>
      </c>
      <c r="AA17" s="53">
        <v>397308</v>
      </c>
      <c r="AB17" s="167">
        <f t="shared" si="4"/>
        <v>17.8597842835131</v>
      </c>
      <c r="AC17" s="57">
        <f t="shared" si="5"/>
        <v>19.9592082789109</v>
      </c>
      <c r="AD17" s="168">
        <f t="shared" si="6"/>
        <v>18.3180896182925</v>
      </c>
      <c r="AE17" s="58">
        <f t="shared" si="7"/>
        <v>21.9854614447619</v>
      </c>
      <c r="AF17" s="56"/>
      <c r="AG17" s="53">
        <v>103</v>
      </c>
      <c r="AH17" s="53"/>
      <c r="AI17" s="53">
        <v>3124</v>
      </c>
      <c r="AJ17" s="167" t="e">
        <f t="shared" si="8"/>
        <v>#DIV/0!</v>
      </c>
      <c r="AK17" s="57">
        <f t="shared" si="9"/>
        <v>30.3300970873786</v>
      </c>
      <c r="AL17" s="172">
        <v>1136</v>
      </c>
      <c r="AM17" s="172">
        <v>690</v>
      </c>
      <c r="AN17" s="53">
        <v>1833</v>
      </c>
      <c r="AO17" s="53">
        <v>43825</v>
      </c>
      <c r="AP17" s="53">
        <v>27050</v>
      </c>
      <c r="AQ17" s="53">
        <v>90810</v>
      </c>
      <c r="AR17" s="168">
        <f t="shared" ref="AR17:AT17" si="10">AO17/AL17</f>
        <v>38.5783450704225</v>
      </c>
      <c r="AS17" s="168">
        <f t="shared" si="10"/>
        <v>39.2028985507246</v>
      </c>
      <c r="AT17" s="57">
        <f t="shared" si="10"/>
        <v>49.5417348608838</v>
      </c>
      <c r="AU17" s="177">
        <f>T17+X17+Y17+AF17+AG17+AL17+AM17+AN17</f>
        <v>188790</v>
      </c>
      <c r="AV17" s="178">
        <f>U17+Z17+AA17+AH17+AI17+AO17+AP17+AQ17</f>
        <v>4185895</v>
      </c>
    </row>
    <row r="18" s="26" customFormat="1" ht="23" customHeight="1" spans="1:49">
      <c r="A18" s="52" t="s">
        <v>170</v>
      </c>
      <c r="B18" s="52">
        <v>991</v>
      </c>
      <c r="C18" s="53">
        <v>81463</v>
      </c>
      <c r="D18" s="53">
        <v>15246</v>
      </c>
      <c r="E18" s="53">
        <v>1448855</v>
      </c>
      <c r="F18" s="53"/>
      <c r="G18" s="54"/>
      <c r="H18" s="53"/>
      <c r="I18" s="53"/>
      <c r="J18" s="53"/>
      <c r="K18" s="53"/>
      <c r="L18" s="53">
        <v>6000</v>
      </c>
      <c r="M18" s="53">
        <v>9940</v>
      </c>
      <c r="N18" s="53">
        <v>100800</v>
      </c>
      <c r="O18" s="53">
        <v>198800</v>
      </c>
      <c r="P18" s="53">
        <f>216+1032</f>
        <v>1248</v>
      </c>
      <c r="Q18" s="53">
        <f>57+81470-8140</f>
        <v>73387</v>
      </c>
      <c r="R18" s="53">
        <f>3888+17316</f>
        <v>21204</v>
      </c>
      <c r="S18" s="55">
        <f>1425+1765896+4-145390</f>
        <v>1621935</v>
      </c>
      <c r="T18" s="53">
        <f t="shared" si="0"/>
        <v>173029</v>
      </c>
      <c r="U18" s="53">
        <f t="shared" si="1"/>
        <v>3406840</v>
      </c>
      <c r="V18" s="53">
        <f t="shared" si="2"/>
        <v>16.65857506979</v>
      </c>
      <c r="W18" s="56">
        <f t="shared" si="3"/>
        <v>19.8409490867164</v>
      </c>
      <c r="X18" s="172">
        <v>146</v>
      </c>
      <c r="Y18" s="53">
        <v>32833</v>
      </c>
      <c r="Z18" s="53">
        <v>2575</v>
      </c>
      <c r="AA18" s="53">
        <v>606038</v>
      </c>
      <c r="AB18" s="167">
        <f t="shared" si="4"/>
        <v>17.6369863013699</v>
      </c>
      <c r="AC18" s="57">
        <f t="shared" si="5"/>
        <v>18.4581975451527</v>
      </c>
      <c r="AD18" s="168">
        <f t="shared" si="6"/>
        <v>16.6756112104949</v>
      </c>
      <c r="AE18" s="58">
        <f t="shared" si="7"/>
        <v>19.6112193418782</v>
      </c>
      <c r="AF18" s="179"/>
      <c r="AG18" s="180"/>
      <c r="AH18" s="180"/>
      <c r="AI18" s="180"/>
      <c r="AJ18" s="167" t="e">
        <f t="shared" si="8"/>
        <v>#DIV/0!</v>
      </c>
      <c r="AK18" s="57" t="e">
        <f t="shared" si="9"/>
        <v>#DIV/0!</v>
      </c>
      <c r="AL18" s="181">
        <v>14</v>
      </c>
      <c r="AM18" s="181">
        <v>45</v>
      </c>
      <c r="AN18" s="180">
        <f>1276</f>
        <v>1276</v>
      </c>
      <c r="AO18" s="180">
        <v>620</v>
      </c>
      <c r="AP18" s="180">
        <v>1640</v>
      </c>
      <c r="AQ18" s="180">
        <f>60045</f>
        <v>60045</v>
      </c>
      <c r="AR18" s="182"/>
      <c r="AS18" s="182"/>
      <c r="AT18" s="182"/>
      <c r="AU18" s="177">
        <f>T18+X18+Y18+AF18+AG18+AL18+AM18+AN18</f>
        <v>207343</v>
      </c>
      <c r="AV18" s="178">
        <f>U18+Z18+AA18+AH18+AI18+AO18+AP18+AQ18</f>
        <v>4077758</v>
      </c>
    </row>
    <row r="19" s="26" customFormat="1" ht="29" customHeight="1" spans="1:49">
      <c r="A19" s="59" t="s">
        <v>43</v>
      </c>
      <c r="B19" s="59">
        <f>SUM(B6:B18)</f>
        <v>33599</v>
      </c>
      <c r="C19" s="59">
        <f t="shared" ref="C19:U19" si="11">SUM(C6:C18)</f>
        <v>426864</v>
      </c>
      <c r="D19" s="59">
        <f t="shared" si="11"/>
        <v>536362</v>
      </c>
      <c r="E19" s="59">
        <f t="shared" si="11"/>
        <v>7550706</v>
      </c>
      <c r="F19" s="59">
        <f t="shared" si="11"/>
        <v>0</v>
      </c>
      <c r="G19" s="59">
        <f t="shared" si="11"/>
        <v>0</v>
      </c>
      <c r="H19" s="59">
        <f t="shared" si="11"/>
        <v>30000</v>
      </c>
      <c r="I19" s="59">
        <f t="shared" si="11"/>
        <v>255000</v>
      </c>
      <c r="J19" s="59">
        <f t="shared" si="11"/>
        <v>12381</v>
      </c>
      <c r="K19" s="59">
        <f t="shared" si="11"/>
        <v>189501</v>
      </c>
      <c r="L19" s="59">
        <f t="shared" si="11"/>
        <v>137856</v>
      </c>
      <c r="M19" s="59">
        <f t="shared" si="11"/>
        <v>229926</v>
      </c>
      <c r="N19" s="59">
        <f t="shared" si="11"/>
        <v>2331679.8</v>
      </c>
      <c r="O19" s="59">
        <f t="shared" si="11"/>
        <v>5618918</v>
      </c>
      <c r="P19" s="59">
        <f t="shared" si="11"/>
        <v>72556</v>
      </c>
      <c r="Q19" s="59">
        <f t="shared" si="11"/>
        <v>215313</v>
      </c>
      <c r="R19" s="59">
        <f t="shared" si="11"/>
        <v>1228609.6</v>
      </c>
      <c r="S19" s="59">
        <f t="shared" si="11"/>
        <v>5000453.06</v>
      </c>
      <c r="T19" s="60">
        <f t="shared" si="11"/>
        <v>1158495</v>
      </c>
      <c r="U19" s="60">
        <f t="shared" si="11"/>
        <v>22711229.46</v>
      </c>
      <c r="V19" s="53">
        <f t="shared" si="2"/>
        <v>16.7887980459897</v>
      </c>
      <c r="W19" s="62">
        <f t="shared" si="3"/>
        <v>20.8347833455452</v>
      </c>
      <c r="X19" s="62">
        <f>SUM(X6:X18)</f>
        <v>20449</v>
      </c>
      <c r="Y19" s="60">
        <f>SUM(Y6:Y18)</f>
        <v>169094</v>
      </c>
      <c r="Z19" s="60">
        <f>SUM(Z6:Z16)</f>
        <v>233785</v>
      </c>
      <c r="AA19" s="60">
        <f>SUM(AA6:AA16)</f>
        <v>1526668.01</v>
      </c>
      <c r="AB19" s="183">
        <f t="shared" si="4"/>
        <v>11.4325883906303</v>
      </c>
      <c r="AC19" s="63">
        <f t="shared" si="5"/>
        <v>9.02851674216708</v>
      </c>
      <c r="AD19" s="184">
        <f t="shared" si="6"/>
        <v>16.3746366180141</v>
      </c>
      <c r="AE19" s="64">
        <f t="shared" si="7"/>
        <v>18.9174047466522</v>
      </c>
      <c r="AF19" s="185">
        <f>SUM(AF6:AF16)</f>
        <v>0</v>
      </c>
      <c r="AG19" s="186">
        <f>SUM(AG6:AG18)</f>
        <v>388</v>
      </c>
      <c r="AH19" s="186">
        <f>SUM(AH6:AH16)</f>
        <v>0</v>
      </c>
      <c r="AI19" s="186">
        <f>SUM(AI6:AI16)</f>
        <v>6723</v>
      </c>
      <c r="AJ19" s="187" t="e">
        <f t="shared" si="8"/>
        <v>#DIV/0!</v>
      </c>
      <c r="AK19" s="188">
        <f t="shared" si="9"/>
        <v>17.3273195876289</v>
      </c>
      <c r="AL19" s="189">
        <f t="shared" ref="AL19:AQ19" si="12">SUM(AL6:AL18)</f>
        <v>1150</v>
      </c>
      <c r="AM19" s="189">
        <f t="shared" si="12"/>
        <v>735</v>
      </c>
      <c r="AN19" s="189">
        <f t="shared" si="12"/>
        <v>3109</v>
      </c>
      <c r="AO19" s="189">
        <f t="shared" si="12"/>
        <v>44445</v>
      </c>
      <c r="AP19" s="189">
        <f t="shared" si="12"/>
        <v>28690</v>
      </c>
      <c r="AQ19" s="189">
        <f t="shared" si="12"/>
        <v>150855</v>
      </c>
      <c r="AR19" s="190">
        <f>SUM(AR6:AR17)</f>
        <v>38.5783450704225</v>
      </c>
      <c r="AS19" s="190">
        <f>SUM(AS6:AS17)</f>
        <v>39.2028985507246</v>
      </c>
      <c r="AT19" s="190">
        <f>SUM(AT6:AT17)</f>
        <v>49.5417348608838</v>
      </c>
      <c r="AU19" s="177">
        <f>T19+X19+Y19+AF19+AG19+AL19+AM19+AN19</f>
        <v>1353420</v>
      </c>
      <c r="AV19" s="178">
        <f>U19+Z19+AA19+AH19+AI19+AO19+AP19+AQ19</f>
        <v>24702395.47</v>
      </c>
      <c r="AW19" s="175"/>
    </row>
    <row r="20" spans="1:49"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</row>
    <row r="21" spans="1:49"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</row>
    <row r="22" spans="1:49">
      <c r="AE22" s="28">
        <f>T14+X14+Y14+AG14</f>
        <v>126114</v>
      </c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</row>
    <row r="23" spans="1:49">
      <c r="AE23" s="28">
        <f>T15+X15+Y15+AG15</f>
        <v>97831</v>
      </c>
    </row>
    <row r="24" spans="1:49">
      <c r="AH24">
        <f>U16+AA16+Z16+AI16</f>
        <v>999316.07</v>
      </c>
    </row>
    <row r="26" spans="1:49">
      <c r="AC26" s="28">
        <f>T14+X14+Y14+AG14</f>
        <v>126114</v>
      </c>
    </row>
    <row r="27" spans="1:49">
      <c r="AC27" s="28">
        <f>T15+X15+Y15+AG15</f>
        <v>97831</v>
      </c>
    </row>
    <row r="28" spans="1:49">
      <c r="AC28" s="28">
        <f>T16+X16+Y16+AG16</f>
        <v>51424</v>
      </c>
    </row>
    <row r="29" spans="1:49">
      <c r="AC29" s="28">
        <f>T19+X19+Y19+AG19+AL19+AM19+AN19</f>
        <v>1353420</v>
      </c>
    </row>
  </sheetData>
  <mergeCells count="36">
    <mergeCell ref="A1:AC1"/>
    <mergeCell ref="C2:W2"/>
    <mergeCell ref="Y2:AC2"/>
    <mergeCell ref="AG2:AK2"/>
    <mergeCell ref="AL2:AT2"/>
    <mergeCell ref="B3:C3"/>
    <mergeCell ref="D3:E3"/>
    <mergeCell ref="F3:S3"/>
    <mergeCell ref="L4:M4"/>
    <mergeCell ref="N4:O4"/>
    <mergeCell ref="P4:Q4"/>
    <mergeCell ref="R4:S4"/>
    <mergeCell ref="A2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T3:T4"/>
    <mergeCell ref="U3:U4"/>
    <mergeCell ref="AD2:AE4"/>
    <mergeCell ref="V3:W4"/>
    <mergeCell ref="X3:Y4"/>
    <mergeCell ref="Z3:AA4"/>
    <mergeCell ref="AB3:AC4"/>
    <mergeCell ref="AF3:AG4"/>
    <mergeCell ref="AH3:AI4"/>
    <mergeCell ref="AJ3:AK4"/>
    <mergeCell ref="AL3:AN4"/>
    <mergeCell ref="AO3:AQ4"/>
    <mergeCell ref="AR3:AT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1"/>
  <sheetViews>
    <sheetView topLeftCell="V1" workbookViewId="0">
      <selection activeCell="K19" sqref="K19"/>
    </sheetView>
  </sheetViews>
  <sheetFormatPr defaultColWidth="9" defaultRowHeight="13.8"/>
  <cols>
    <col min="1" max="1" width="5" style="65" customWidth="1"/>
    <col min="2" max="2" width="8.875" style="65" customWidth="1"/>
    <col min="3" max="3" width="8.75" style="65" customWidth="1"/>
    <col min="4" max="4" width="8.125" style="65" customWidth="1"/>
    <col min="5" max="5" width="13.875" style="65" customWidth="1"/>
    <col min="6" max="6" width="7.75" style="65" customWidth="1"/>
    <col min="7" max="7" width="7.375" style="65" customWidth="1"/>
    <col min="8" max="8" width="7.375" style="105" customWidth="1"/>
    <col min="9" max="9" width="6.75" style="70" customWidth="1"/>
    <col min="10" max="10" width="8.25" style="70" customWidth="1"/>
    <col min="11" max="11" width="10.875" style="70" customWidth="1"/>
    <col min="12" max="12" width="8.875" style="70" customWidth="1"/>
    <col min="13" max="13" width="9.25" style="70" customWidth="1"/>
    <col min="14" max="14" width="8" style="70" customWidth="1"/>
    <col min="15" max="15" width="6.875" style="70" customWidth="1"/>
    <col min="16" max="16" width="8.25" style="70" customWidth="1"/>
    <col min="17" max="17" width="6.75" style="70" customWidth="1"/>
    <col min="18" max="18" width="8.125" style="70" customWidth="1"/>
    <col min="19" max="19" width="7" style="70" customWidth="1"/>
    <col min="20" max="20" width="8.25" style="70" customWidth="1"/>
    <col min="21" max="21" width="10.625" style="70" customWidth="1"/>
    <col min="22" max="22" width="10.75" style="70" customWidth="1"/>
    <col min="23" max="23" width="9.25" style="70" customWidth="1"/>
    <col min="24" max="24" width="8" style="70" customWidth="1"/>
    <col min="25" max="25" width="6.875" style="70" customWidth="1"/>
    <col min="26" max="26" width="8.25" style="70" customWidth="1"/>
    <col min="27" max="27" width="6.75" style="70" customWidth="1"/>
    <col min="28" max="28" width="8.125" style="70" customWidth="1"/>
    <col min="29" max="29" width="7" style="70" customWidth="1"/>
    <col min="30" max="30" width="8.25" style="70" customWidth="1"/>
    <col min="31" max="31" width="10.625" style="70" customWidth="1"/>
    <col min="32" max="32" width="10.75" style="70" customWidth="1"/>
    <col min="33" max="33" width="9.25" style="70" customWidth="1"/>
    <col min="34" max="34" width="8" style="70" customWidth="1"/>
    <col min="35" max="35" width="6.875" style="70" customWidth="1"/>
    <col min="36" max="36" width="8.25" style="70" customWidth="1"/>
    <col min="37" max="37" width="6.75" style="70" customWidth="1"/>
    <col min="38" max="38" width="8.125" style="70" customWidth="1"/>
    <col min="39" max="39" width="7" style="70" customWidth="1"/>
    <col min="40" max="40" width="8.25" style="70" customWidth="1"/>
    <col min="41" max="41" width="10.625" style="70" customWidth="1"/>
    <col min="42" max="42" width="10.75" style="70" customWidth="1"/>
    <col min="43" max="43" width="9" style="65"/>
    <col min="44" max="44" width="18.75" style="65" customWidth="1"/>
    <col min="45" max="45" width="26.75" style="65" customWidth="1"/>
    <col min="46" max="16384" width="9" style="65"/>
  </cols>
  <sheetData>
    <row r="1" s="65" customFormat="1" ht="27" customHeight="1" spans="1:45">
      <c r="A1" s="71" t="s">
        <v>171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0"/>
      <c r="W1" s="71"/>
      <c r="X1" s="71"/>
      <c r="Y1" s="71"/>
      <c r="Z1" s="71"/>
      <c r="AA1" s="71"/>
      <c r="AB1" s="71"/>
      <c r="AC1" s="71"/>
      <c r="AD1" s="71"/>
      <c r="AE1" s="71"/>
      <c r="AF1" s="70"/>
      <c r="AG1" s="71"/>
      <c r="AH1" s="71"/>
      <c r="AI1" s="71"/>
      <c r="AJ1" s="71"/>
      <c r="AK1" s="71"/>
      <c r="AL1" s="71"/>
      <c r="AM1" s="71"/>
      <c r="AN1" s="71"/>
      <c r="AO1" s="71"/>
      <c r="AP1" s="70"/>
    </row>
    <row r="2" s="66" customFormat="1" ht="27" customHeight="1" spans="1:45">
      <c r="A2" s="72" t="s">
        <v>1</v>
      </c>
      <c r="B2" s="73" t="s">
        <v>172</v>
      </c>
      <c r="C2" s="73" t="s">
        <v>173</v>
      </c>
      <c r="D2" s="73" t="s">
        <v>174</v>
      </c>
      <c r="E2" s="74" t="s">
        <v>175</v>
      </c>
      <c r="F2" s="106"/>
      <c r="G2" s="75" t="s">
        <v>176</v>
      </c>
      <c r="H2" s="76"/>
      <c r="I2" s="76"/>
      <c r="J2" s="77"/>
      <c r="K2" s="78" t="s">
        <v>177</v>
      </c>
      <c r="L2" s="78" t="s">
        <v>178</v>
      </c>
      <c r="M2" s="73" t="s">
        <v>179</v>
      </c>
      <c r="N2" s="79" t="s">
        <v>180</v>
      </c>
      <c r="O2" s="76"/>
      <c r="P2" s="76"/>
      <c r="Q2" s="76"/>
      <c r="R2" s="76"/>
      <c r="S2" s="76"/>
      <c r="T2" s="80"/>
      <c r="U2" s="78" t="s">
        <v>181</v>
      </c>
      <c r="V2" s="78" t="s">
        <v>182</v>
      </c>
      <c r="W2" s="73" t="s">
        <v>183</v>
      </c>
      <c r="X2" s="79" t="s">
        <v>184</v>
      </c>
      <c r="Y2" s="76"/>
      <c r="Z2" s="76"/>
      <c r="AA2" s="76"/>
      <c r="AB2" s="76"/>
      <c r="AC2" s="76"/>
      <c r="AD2" s="80"/>
      <c r="AE2" s="78" t="s">
        <v>185</v>
      </c>
      <c r="AF2" s="78" t="s">
        <v>186</v>
      </c>
      <c r="AG2" s="73" t="s">
        <v>187</v>
      </c>
      <c r="AH2" s="79" t="s">
        <v>188</v>
      </c>
      <c r="AI2" s="76"/>
      <c r="AJ2" s="76"/>
      <c r="AK2" s="76"/>
      <c r="AL2" s="76"/>
      <c r="AM2" s="76"/>
      <c r="AN2" s="80"/>
      <c r="AO2" s="78" t="s">
        <v>189</v>
      </c>
      <c r="AP2" s="78" t="s">
        <v>190</v>
      </c>
      <c r="AQ2" s="73" t="s">
        <v>191</v>
      </c>
      <c r="AR2" s="73" t="s">
        <v>192</v>
      </c>
      <c r="AS2" s="73" t="s">
        <v>193</v>
      </c>
    </row>
    <row r="3" s="67" customFormat="1" ht="59" customHeight="1" spans="1:45">
      <c r="A3" s="72"/>
      <c r="B3" s="73"/>
      <c r="C3" s="73"/>
      <c r="D3" s="73"/>
      <c r="E3" s="81"/>
      <c r="F3" s="104" t="s">
        <v>194</v>
      </c>
      <c r="G3" s="104" t="s">
        <v>195</v>
      </c>
      <c r="H3" s="107" t="s">
        <v>196</v>
      </c>
      <c r="I3" s="73" t="s">
        <v>197</v>
      </c>
      <c r="J3" s="83" t="s">
        <v>198</v>
      </c>
      <c r="K3" s="78"/>
      <c r="L3" s="78"/>
      <c r="M3" s="73"/>
      <c r="N3" s="73" t="s">
        <v>199</v>
      </c>
      <c r="O3" s="97" t="s">
        <v>200</v>
      </c>
      <c r="P3" s="73" t="s">
        <v>201</v>
      </c>
      <c r="Q3" s="97" t="s">
        <v>194</v>
      </c>
      <c r="R3" s="73" t="s">
        <v>202</v>
      </c>
      <c r="S3" s="97" t="s">
        <v>195</v>
      </c>
      <c r="T3" s="97" t="s">
        <v>203</v>
      </c>
      <c r="U3" s="84"/>
      <c r="V3" s="84"/>
      <c r="W3" s="73"/>
      <c r="X3" s="73" t="s">
        <v>204</v>
      </c>
      <c r="Y3" s="97" t="s">
        <v>196</v>
      </c>
      <c r="Z3" s="73" t="s">
        <v>201</v>
      </c>
      <c r="AA3" s="97" t="s">
        <v>194</v>
      </c>
      <c r="AB3" s="73" t="s">
        <v>202</v>
      </c>
      <c r="AC3" s="97" t="s">
        <v>195</v>
      </c>
      <c r="AD3" s="97" t="s">
        <v>205</v>
      </c>
      <c r="AE3" s="84"/>
      <c r="AF3" s="84"/>
      <c r="AG3" s="73"/>
      <c r="AH3" s="73" t="s">
        <v>199</v>
      </c>
      <c r="AI3" s="97" t="s">
        <v>200</v>
      </c>
      <c r="AJ3" s="73" t="s">
        <v>201</v>
      </c>
      <c r="AK3" s="97" t="s">
        <v>194</v>
      </c>
      <c r="AL3" s="73" t="s">
        <v>202</v>
      </c>
      <c r="AM3" s="97" t="s">
        <v>195</v>
      </c>
      <c r="AN3" s="97" t="s">
        <v>206</v>
      </c>
      <c r="AO3" s="84"/>
      <c r="AP3" s="84"/>
      <c r="AQ3" s="108"/>
      <c r="AR3" s="108"/>
      <c r="AS3" s="108"/>
    </row>
    <row r="4" s="68" customFormat="1" ht="21.95" customHeight="1" spans="1:45">
      <c r="A4" s="8" t="s">
        <v>36</v>
      </c>
      <c r="B4" s="8">
        <v>403896</v>
      </c>
      <c r="C4" s="8">
        <v>137776</v>
      </c>
      <c r="D4" s="8">
        <v>181185</v>
      </c>
      <c r="E4" s="8">
        <v>31924</v>
      </c>
      <c r="F4" s="8"/>
      <c r="G4" s="8"/>
      <c r="H4" s="109"/>
      <c r="I4" s="85"/>
      <c r="J4" s="85">
        <f t="shared" ref="J4:J15" si="0">G4+I4+F4+H4</f>
        <v>0</v>
      </c>
      <c r="K4" s="86">
        <f>J4/SUM(B4:E4)</f>
        <v>0</v>
      </c>
      <c r="L4" s="86">
        <f t="shared" ref="L4:L15" si="1">J4/SUM(B4:E4)</f>
        <v>0</v>
      </c>
      <c r="M4" s="85">
        <v>151097</v>
      </c>
      <c r="N4" s="85">
        <v>0</v>
      </c>
      <c r="O4" s="8">
        <v>0</v>
      </c>
      <c r="P4" s="8">
        <v>0</v>
      </c>
      <c r="Q4" s="8">
        <v>0</v>
      </c>
      <c r="R4" s="8">
        <v>8178</v>
      </c>
      <c r="S4" s="8"/>
      <c r="T4" s="8">
        <f t="shared" ref="T4:T15" si="2">O4+Q4+S4</f>
        <v>0</v>
      </c>
      <c r="U4" s="87">
        <f t="shared" ref="U4:U15" si="3">T4/(M4+N4+P4+R4)</f>
        <v>0</v>
      </c>
      <c r="V4" s="87">
        <f>T4/($M$4+SUM(N4,P4,R4))</f>
        <v>0</v>
      </c>
      <c r="W4" s="85"/>
      <c r="X4" s="85"/>
      <c r="Y4" s="8"/>
      <c r="Z4" s="8"/>
      <c r="AA4" s="8"/>
      <c r="AB4" s="8"/>
      <c r="AC4" s="8"/>
      <c r="AD4" s="8">
        <f t="shared" ref="AD4:AD15" si="4">Y4+AA4+AC4</f>
        <v>0</v>
      </c>
      <c r="AE4" s="87" t="e">
        <f t="shared" ref="AE4:AE15" si="5">AD4/(W4+X4+Z4+AB4)</f>
        <v>#DIV/0!</v>
      </c>
      <c r="AF4" s="87">
        <f>AD4/($M$4+SUM(X4,Z4,AB4))</f>
        <v>0</v>
      </c>
      <c r="AG4" s="85"/>
      <c r="AH4" s="85"/>
      <c r="AI4" s="8"/>
      <c r="AJ4" s="8"/>
      <c r="AK4" s="8"/>
      <c r="AL4" s="8"/>
      <c r="AM4" s="8"/>
      <c r="AN4" s="8"/>
      <c r="AO4" s="87" t="e">
        <f t="shared" ref="AO4:AO15" si="6">AN4/(AG4+AH4+AJ4+AL4)</f>
        <v>#DIV/0!</v>
      </c>
      <c r="AP4" s="87">
        <f>AN4/($M$4+SUM(AH4,AJ4,AL4))</f>
        <v>0</v>
      </c>
      <c r="AQ4" s="110">
        <f t="shared" ref="AQ4:AQ15" si="7">J4+T4+AD4+AN4</f>
        <v>0</v>
      </c>
      <c r="AR4" s="110"/>
      <c r="AS4" s="110"/>
    </row>
    <row r="5" s="68" customFormat="1" ht="21.95" customHeight="1" spans="1:45">
      <c r="A5" s="8" t="s">
        <v>37</v>
      </c>
      <c r="B5" s="8">
        <v>338944</v>
      </c>
      <c r="C5" s="8">
        <v>81914</v>
      </c>
      <c r="D5" s="8">
        <v>113601</v>
      </c>
      <c r="E5" s="8">
        <v>17627</v>
      </c>
      <c r="F5" s="8">
        <v>0</v>
      </c>
      <c r="G5" s="8">
        <v>12592</v>
      </c>
      <c r="H5" s="8"/>
      <c r="I5" s="8">
        <v>1007</v>
      </c>
      <c r="J5" s="85">
        <f t="shared" si="0"/>
        <v>13599</v>
      </c>
      <c r="K5" s="86">
        <f>SUM($J$4:J5)/(($B$4)+SUM(C4:E5))</f>
        <v>0.0140496713064986</v>
      </c>
      <c r="L5" s="86">
        <f t="shared" si="1"/>
        <v>0.0246320319660343</v>
      </c>
      <c r="M5" s="85">
        <v>147789</v>
      </c>
      <c r="N5" s="85">
        <v>0</v>
      </c>
      <c r="O5" s="8">
        <v>139</v>
      </c>
      <c r="P5" s="8">
        <v>0</v>
      </c>
      <c r="Q5" s="8">
        <v>609</v>
      </c>
      <c r="R5" s="8">
        <v>33023</v>
      </c>
      <c r="S5" s="8">
        <v>18030</v>
      </c>
      <c r="T5" s="8">
        <f t="shared" si="2"/>
        <v>18778</v>
      </c>
      <c r="U5" s="87">
        <f t="shared" si="3"/>
        <v>0.103853726522576</v>
      </c>
      <c r="V5" s="87">
        <f>SUM(T4:T5)/($M$4+SUM(N4:N5,P4:P5,R4:R5))</f>
        <v>0.097650521586288</v>
      </c>
      <c r="W5" s="85"/>
      <c r="X5" s="85"/>
      <c r="Y5" s="8"/>
      <c r="Z5" s="8"/>
      <c r="AA5" s="8"/>
      <c r="AB5" s="8"/>
      <c r="AC5" s="8"/>
      <c r="AD5" s="8">
        <f t="shared" si="4"/>
        <v>0</v>
      </c>
      <c r="AE5" s="87" t="e">
        <f t="shared" si="5"/>
        <v>#DIV/0!</v>
      </c>
      <c r="AF5" s="87">
        <f>SUM(AD4:AD5)/($M$4+SUM(X4:X5,Z4:Z5,AB4:AB5))</f>
        <v>0</v>
      </c>
      <c r="AG5" s="85"/>
      <c r="AH5" s="85"/>
      <c r="AI5" s="8"/>
      <c r="AJ5" s="8"/>
      <c r="AK5" s="8"/>
      <c r="AL5" s="8"/>
      <c r="AM5" s="8"/>
      <c r="AN5" s="8"/>
      <c r="AO5" s="87" t="e">
        <f t="shared" si="6"/>
        <v>#DIV/0!</v>
      </c>
      <c r="AP5" s="87">
        <f>SUM(AN4:AN5)/($M$4+SUM(AH4:AH5,AJ4:AJ5,AL4:AL5))</f>
        <v>0</v>
      </c>
      <c r="AQ5" s="110">
        <f t="shared" si="7"/>
        <v>32377</v>
      </c>
      <c r="AR5" s="111">
        <f t="shared" ref="AR5:AR15" si="8">AQ5/(B5+C5+D5+E5+M5+N5+P5+R5+W5+X5+Z5+AB5+AG5+AH5+AJ5+AL5)</f>
        <v>0.0441766794287882</v>
      </c>
      <c r="AS5" s="111">
        <f>SUM(AQ4:AQ5)/(B4+M4+W4+AG4+SUM(C4:E5)+SUM(N4:N5,P4:P5,R4:R5)+SUM(X4:X5,Z4:Z5,AB4:AB5)+SUM(AH4:AH5,AJ4:AJ5,AL4:AL5))</f>
        <v>0.0279058903433053</v>
      </c>
    </row>
    <row r="6" s="68" customFormat="1" ht="21.95" customHeight="1" spans="1:45">
      <c r="A6" s="8" t="s">
        <v>38</v>
      </c>
      <c r="B6" s="8">
        <v>359547</v>
      </c>
      <c r="C6" s="8">
        <v>196853</v>
      </c>
      <c r="D6" s="8">
        <v>49635</v>
      </c>
      <c r="E6" s="8">
        <v>688</v>
      </c>
      <c r="F6" s="8">
        <v>14</v>
      </c>
      <c r="G6" s="8">
        <v>6949</v>
      </c>
      <c r="H6" s="8"/>
      <c r="I6" s="8">
        <v>0</v>
      </c>
      <c r="J6" s="85">
        <f t="shared" si="0"/>
        <v>6963</v>
      </c>
      <c r="K6" s="86">
        <f>SUM(J$4:J6)/(($B$4)+SUM(C4:E6))</f>
        <v>0.016922077954142</v>
      </c>
      <c r="L6" s="86">
        <f t="shared" si="1"/>
        <v>0.0114764068611211</v>
      </c>
      <c r="M6" s="85">
        <v>72890</v>
      </c>
      <c r="N6" s="85"/>
      <c r="O6" s="8"/>
      <c r="P6" s="8">
        <v>39313</v>
      </c>
      <c r="Q6" s="8"/>
      <c r="R6" s="8"/>
      <c r="S6" s="8">
        <v>8025</v>
      </c>
      <c r="T6" s="8">
        <f t="shared" si="2"/>
        <v>8025</v>
      </c>
      <c r="U6" s="87">
        <f t="shared" si="3"/>
        <v>0.0715221518141226</v>
      </c>
      <c r="V6" s="87">
        <f>SUM(T4:T6)/($M$4+SUM(N4:N6,P4:P6,R4:R6))</f>
        <v>0.115724209990026</v>
      </c>
      <c r="W6" s="85"/>
      <c r="X6" s="85"/>
      <c r="Y6" s="8"/>
      <c r="Z6" s="8"/>
      <c r="AA6" s="8"/>
      <c r="AB6" s="8"/>
      <c r="AC6" s="8"/>
      <c r="AD6" s="8">
        <f t="shared" si="4"/>
        <v>0</v>
      </c>
      <c r="AE6" s="87" t="e">
        <f t="shared" si="5"/>
        <v>#DIV/0!</v>
      </c>
      <c r="AF6" s="87">
        <f>SUM(AD4:AD6)/($M$4+SUM(X4:X6,Z4:Z6,AB4:AB6))</f>
        <v>0</v>
      </c>
      <c r="AG6" s="85"/>
      <c r="AH6" s="85"/>
      <c r="AI6" s="8"/>
      <c r="AJ6" s="8"/>
      <c r="AK6" s="8"/>
      <c r="AL6" s="8"/>
      <c r="AM6" s="8"/>
      <c r="AN6" s="8"/>
      <c r="AO6" s="87" t="e">
        <f t="shared" si="6"/>
        <v>#DIV/0!</v>
      </c>
      <c r="AP6" s="87">
        <f>SUM(AN4:AN6)/($M$4+SUM(AH4:AH6,AJ4:AJ6,AL4:AL6))</f>
        <v>0</v>
      </c>
      <c r="AQ6" s="110">
        <f t="shared" si="7"/>
        <v>14988</v>
      </c>
      <c r="AR6" s="111">
        <f t="shared" si="8"/>
        <v>0.0208477645821684</v>
      </c>
      <c r="AS6" s="111">
        <f>SUM(AQ4:AQ6)/(B4+M4+W4+AG4+SUM(C4:E6)+SUM(N4:N6,P4:P6,R4:R6)+SUM(X4:X6,Z4:Z6,AB4:AB6)+SUM(AH4:AH6,AJ4:AJ6,AL4:AL6))</f>
        <v>0.0327398027248032</v>
      </c>
    </row>
    <row r="7" s="68" customFormat="1" ht="21.95" customHeight="1" spans="1:45">
      <c r="A7" s="8" t="s">
        <v>39</v>
      </c>
      <c r="B7" s="8">
        <v>485903</v>
      </c>
      <c r="C7" s="8">
        <v>125385</v>
      </c>
      <c r="D7" s="8">
        <v>55284</v>
      </c>
      <c r="E7" s="8">
        <v>10088</v>
      </c>
      <c r="F7" s="8">
        <v>126</v>
      </c>
      <c r="G7" s="8">
        <v>3595</v>
      </c>
      <c r="H7" s="8"/>
      <c r="I7" s="8">
        <v>546</v>
      </c>
      <c r="J7" s="85">
        <f t="shared" si="0"/>
        <v>4267</v>
      </c>
      <c r="K7" s="86">
        <f>SUM($J$4:J7)/(($B$4)+SUM(C4:E7))</f>
        <v>0.0176611260328227</v>
      </c>
      <c r="L7" s="86">
        <f t="shared" si="1"/>
        <v>0.00630597345786658</v>
      </c>
      <c r="M7" s="85">
        <v>103323</v>
      </c>
      <c r="N7" s="85"/>
      <c r="O7" s="8"/>
      <c r="P7" s="8">
        <v>84840</v>
      </c>
      <c r="Q7" s="8"/>
      <c r="R7" s="8"/>
      <c r="S7" s="8">
        <v>3341</v>
      </c>
      <c r="T7" s="8">
        <f t="shared" si="2"/>
        <v>3341</v>
      </c>
      <c r="U7" s="87">
        <f t="shared" si="3"/>
        <v>0.0177558818683801</v>
      </c>
      <c r="V7" s="87">
        <f>SUM(T4:T7)/($M$4+SUM(N4:N7,P4:P7,R4:R7))</f>
        <v>0.0952564536057715</v>
      </c>
      <c r="W7" s="85"/>
      <c r="X7" s="85"/>
      <c r="Y7" s="8"/>
      <c r="Z7" s="8"/>
      <c r="AA7" s="8"/>
      <c r="AB7" s="8"/>
      <c r="AC7" s="8"/>
      <c r="AD7" s="8">
        <f t="shared" si="4"/>
        <v>0</v>
      </c>
      <c r="AE7" s="87" t="e">
        <f t="shared" si="5"/>
        <v>#DIV/0!</v>
      </c>
      <c r="AF7" s="87">
        <f>SUM(AD4:AD7)/($M$4+SUM(X4:X7,Z4:Z7,AB4:AB7))</f>
        <v>0</v>
      </c>
      <c r="AG7" s="85"/>
      <c r="AH7" s="85"/>
      <c r="AI7" s="8"/>
      <c r="AJ7" s="8"/>
      <c r="AK7" s="8"/>
      <c r="AL7" s="8"/>
      <c r="AM7" s="8"/>
      <c r="AN7" s="8"/>
      <c r="AO7" s="87" t="e">
        <f t="shared" si="6"/>
        <v>#DIV/0!</v>
      </c>
      <c r="AP7" s="87">
        <f>SUM(AN4:AN7)/($M$4+SUM(AH4:AH7,AJ4:AJ7,AL4:AL7))</f>
        <v>0</v>
      </c>
      <c r="AQ7" s="110">
        <f t="shared" si="7"/>
        <v>7608</v>
      </c>
      <c r="AR7" s="111">
        <f t="shared" si="8"/>
        <v>0.00879717583829292</v>
      </c>
      <c r="AS7" s="111">
        <f>SUM(AQ4:AQ7)/(B4+M4+W4+AG4+SUM(C4:E7)+SUM(N4:N7,P4:P7,R4:R7)+SUM(X4:X7,Z4:Z7,AB4:AB7)+SUM(AH4:AH7,AJ4:AJ7,AL4:AL7))</f>
        <v>0.0319182352507422</v>
      </c>
    </row>
    <row r="8" s="68" customFormat="1" ht="21.95" customHeight="1" spans="1:45">
      <c r="A8" s="8" t="s">
        <v>40</v>
      </c>
      <c r="B8" s="8">
        <v>535567</v>
      </c>
      <c r="C8" s="8">
        <v>55904</v>
      </c>
      <c r="D8" s="8">
        <v>57874</v>
      </c>
      <c r="E8" s="8">
        <v>10569</v>
      </c>
      <c r="F8" s="8">
        <v>283</v>
      </c>
      <c r="G8" s="8">
        <v>6553</v>
      </c>
      <c r="H8" s="8">
        <v>853</v>
      </c>
      <c r="I8" s="8">
        <v>491</v>
      </c>
      <c r="J8" s="85">
        <f t="shared" si="0"/>
        <v>8180</v>
      </c>
      <c r="K8" s="86">
        <f>SUM($J$4:J8)/(($B$4)+SUM(C4:E8))</f>
        <v>0.0215716476833466</v>
      </c>
      <c r="L8" s="86">
        <f t="shared" si="1"/>
        <v>0.0123955545722624</v>
      </c>
      <c r="M8" s="85">
        <v>185075</v>
      </c>
      <c r="N8" s="85"/>
      <c r="O8" s="8"/>
      <c r="P8" s="8">
        <v>16557</v>
      </c>
      <c r="Q8" s="8"/>
      <c r="R8" s="8"/>
      <c r="S8" s="8">
        <v>2190</v>
      </c>
      <c r="T8" s="8">
        <f t="shared" si="2"/>
        <v>2190</v>
      </c>
      <c r="U8" s="87">
        <f t="shared" si="3"/>
        <v>0.0108613712109189</v>
      </c>
      <c r="V8" s="87">
        <f>SUM(T4:T8)/($M$4+SUM(N4:N8,P4:P8,R4:R8))</f>
        <v>0.0970967664440494</v>
      </c>
      <c r="W8" s="85"/>
      <c r="X8" s="85"/>
      <c r="Y8" s="8"/>
      <c r="Z8" s="8"/>
      <c r="AA8" s="8"/>
      <c r="AB8" s="8"/>
      <c r="AC8" s="8"/>
      <c r="AD8" s="8">
        <f t="shared" si="4"/>
        <v>0</v>
      </c>
      <c r="AE8" s="87" t="e">
        <f t="shared" si="5"/>
        <v>#DIV/0!</v>
      </c>
      <c r="AF8" s="87">
        <f>SUM(AD4:AD8)/($M$4+SUM(X4:X8,Z4:Z8,AB4:AB8))</f>
        <v>0</v>
      </c>
      <c r="AG8" s="85"/>
      <c r="AH8" s="85"/>
      <c r="AI8" s="8"/>
      <c r="AJ8" s="8"/>
      <c r="AK8" s="8"/>
      <c r="AL8" s="8"/>
      <c r="AM8" s="8"/>
      <c r="AN8" s="8"/>
      <c r="AO8" s="87" t="e">
        <f t="shared" si="6"/>
        <v>#DIV/0!</v>
      </c>
      <c r="AP8" s="87">
        <f>SUM(AN4:AN8)/($M$4+SUM(AH4:AH8,AJ4:AJ8,AL4:AL8))</f>
        <v>0</v>
      </c>
      <c r="AQ8" s="110">
        <f t="shared" si="7"/>
        <v>10370</v>
      </c>
      <c r="AR8" s="111">
        <f t="shared" si="8"/>
        <v>0.0120365018234662</v>
      </c>
      <c r="AS8" s="111">
        <f>SUM(AQ4:AQ8)/(B4+M4+W4+AG4+SUM(C4:E8)+SUM(N4:N8,P4:P8,R4:R8)+SUM(X4:X8,Z4:Z8,AB4:AB8)+SUM(AH4:AH8,AJ4:AJ8,AL4:AL8))</f>
        <v>0.0350701020979374</v>
      </c>
    </row>
    <row r="9" s="68" customFormat="1" ht="21.95" customHeight="1" spans="1:45">
      <c r="A9" s="8" t="s">
        <v>158</v>
      </c>
      <c r="B9" s="8">
        <v>453007</v>
      </c>
      <c r="C9" s="8">
        <v>51939</v>
      </c>
      <c r="D9" s="8">
        <v>60843</v>
      </c>
      <c r="E9" s="8">
        <v>15436</v>
      </c>
      <c r="F9" s="8"/>
      <c r="G9" s="8">
        <f>3941+135-604</f>
        <v>3472</v>
      </c>
      <c r="H9" s="8">
        <v>11264</v>
      </c>
      <c r="I9" s="8">
        <v>658</v>
      </c>
      <c r="J9" s="85">
        <f t="shared" si="0"/>
        <v>15394</v>
      </c>
      <c r="K9" s="86">
        <f>SUM($J$4:J9)/(($B$4)+SUM(C4:E9))</f>
        <v>0.0291861957850268</v>
      </c>
      <c r="L9" s="86">
        <f t="shared" si="1"/>
        <v>0.0264854402339886</v>
      </c>
      <c r="M9" s="85">
        <v>165125</v>
      </c>
      <c r="N9" s="85"/>
      <c r="O9" s="8">
        <v>34</v>
      </c>
      <c r="P9" s="8">
        <v>9857</v>
      </c>
      <c r="Q9" s="8">
        <v>73</v>
      </c>
      <c r="R9" s="8"/>
      <c r="S9" s="8">
        <v>1109</v>
      </c>
      <c r="T9" s="8">
        <f t="shared" si="2"/>
        <v>1216</v>
      </c>
      <c r="U9" s="87">
        <f t="shared" si="3"/>
        <v>0.00694928621229612</v>
      </c>
      <c r="V9" s="87">
        <f>SUM(T4:T9)/($M$4+SUM(N4:N9,P4:P9,R4:R9))</f>
        <v>0.0978519242267365</v>
      </c>
      <c r="W9" s="85">
        <v>56611</v>
      </c>
      <c r="X9" s="85"/>
      <c r="Y9" s="8"/>
      <c r="Z9" s="8"/>
      <c r="AA9" s="8"/>
      <c r="AB9" s="8">
        <v>9540</v>
      </c>
      <c r="AC9" s="8">
        <v>604</v>
      </c>
      <c r="AD9" s="8">
        <f t="shared" si="4"/>
        <v>604</v>
      </c>
      <c r="AE9" s="87">
        <f t="shared" si="5"/>
        <v>0.00913062538737132</v>
      </c>
      <c r="AF9" s="87">
        <f>SUM(AD4:AD9)/($W$9+SUM(X4:X9,Z4:Z9,AB4:AB9))</f>
        <v>0.00913062538737132</v>
      </c>
      <c r="AG9" s="85">
        <v>62661</v>
      </c>
      <c r="AH9" s="85"/>
      <c r="AI9" s="8"/>
      <c r="AJ9" s="8"/>
      <c r="AK9" s="8"/>
      <c r="AL9" s="8">
        <v>30749</v>
      </c>
      <c r="AM9" s="8"/>
      <c r="AN9" s="8">
        <f t="shared" ref="AN9:AN15" si="9">AI9+AK9+AM9</f>
        <v>0</v>
      </c>
      <c r="AO9" s="87">
        <f t="shared" si="6"/>
        <v>0</v>
      </c>
      <c r="AP9" s="87">
        <f>SUM(AN4:AN9)/($AG$9+SUM(AH4:AH9,AJ4:AJ9,AL4:AL9))</f>
        <v>0</v>
      </c>
      <c r="AQ9" s="110">
        <f t="shared" si="7"/>
        <v>17214</v>
      </c>
      <c r="AR9" s="111">
        <f t="shared" si="8"/>
        <v>0.018797337316875</v>
      </c>
      <c r="AS9" s="111">
        <f>SUM(AQ4:AQ9)/(B4+M4+W9+AG9+SUM(C4:E9)+SUM(N4:N9,P4:P9,R4:R9)+SUM(X4:X9,Z4:Z9,AB4:AB9)+SUM(AH4:AH9,AJ4:AJ9,AL4:AL9))</f>
        <v>0.0382058516868617</v>
      </c>
    </row>
    <row r="10" s="68" customFormat="1" ht="21.95" customHeight="1" spans="1:45">
      <c r="A10" s="8" t="s">
        <v>159</v>
      </c>
      <c r="B10" s="8">
        <v>405558</v>
      </c>
      <c r="C10" s="8">
        <v>125114</v>
      </c>
      <c r="D10" s="8">
        <v>49327</v>
      </c>
      <c r="E10" s="8">
        <v>11342</v>
      </c>
      <c r="F10" s="8"/>
      <c r="G10" s="8">
        <f>3434+135</f>
        <v>3569</v>
      </c>
      <c r="H10" s="8">
        <v>959</v>
      </c>
      <c r="I10" s="8">
        <v>973</v>
      </c>
      <c r="J10" s="85">
        <f t="shared" si="0"/>
        <v>5501</v>
      </c>
      <c r="K10" s="86">
        <f>SUM($J$4:J10)/(($B$4)+SUM(C5:E10))</f>
        <v>0.0360967750360104</v>
      </c>
      <c r="L10" s="86">
        <f t="shared" si="1"/>
        <v>0.00930258514122985</v>
      </c>
      <c r="M10" s="85">
        <v>148560</v>
      </c>
      <c r="N10" s="85"/>
      <c r="O10" s="8"/>
      <c r="P10" s="8">
        <v>3570</v>
      </c>
      <c r="Q10" s="8">
        <v>12</v>
      </c>
      <c r="R10" s="8">
        <v>1463</v>
      </c>
      <c r="S10" s="8">
        <v>1093</v>
      </c>
      <c r="T10" s="8">
        <f t="shared" si="2"/>
        <v>1105</v>
      </c>
      <c r="U10" s="87">
        <f t="shared" si="3"/>
        <v>0.00719433828364574</v>
      </c>
      <c r="V10" s="87">
        <f>SUM(T4:T10)/($M$4+SUM(N4:N10,P4:P10,R4:R10))</f>
        <v>0.0996125301093999</v>
      </c>
      <c r="W10" s="85">
        <v>65599</v>
      </c>
      <c r="X10" s="85"/>
      <c r="Y10" s="8"/>
      <c r="Z10" s="8">
        <v>8019</v>
      </c>
      <c r="AA10" s="8"/>
      <c r="AB10" s="8">
        <v>21811</v>
      </c>
      <c r="AC10" s="8">
        <v>255</v>
      </c>
      <c r="AD10" s="8">
        <f t="shared" si="4"/>
        <v>255</v>
      </c>
      <c r="AE10" s="87">
        <f t="shared" si="5"/>
        <v>0.00267214368797745</v>
      </c>
      <c r="AF10" s="87">
        <f>SUM(AD4:AD10)/($W$9+SUM(X4:X10,Z4:Z10,AB4:AB10))</f>
        <v>0.00894968795907523</v>
      </c>
      <c r="AG10" s="85">
        <v>123841</v>
      </c>
      <c r="AH10" s="85"/>
      <c r="AI10" s="8"/>
      <c r="AJ10" s="8"/>
      <c r="AK10" s="8"/>
      <c r="AL10" s="8"/>
      <c r="AM10" s="8">
        <v>601</v>
      </c>
      <c r="AN10" s="8">
        <f t="shared" si="9"/>
        <v>601</v>
      </c>
      <c r="AO10" s="87">
        <f t="shared" si="6"/>
        <v>0.00485299698807342</v>
      </c>
      <c r="AP10" s="87">
        <f>SUM(AN4:AN10)/($AG$9+SUM(AH4:AH10,AJ4:AJ10,AL4:AL10))</f>
        <v>0.00643400064232951</v>
      </c>
      <c r="AQ10" s="110">
        <f t="shared" si="7"/>
        <v>7462</v>
      </c>
      <c r="AR10" s="111">
        <f t="shared" si="8"/>
        <v>0.00773902618118158</v>
      </c>
      <c r="AS10" s="111">
        <f>SUM(AQ4:AQ10)/(B4+M4+W9+AG9+SUM(C4:E10)+SUM(N4:N10,P4:P10,R4:R10)+SUM(X4:X10,Z4:Z10,AB4:AB10)+SUM(AH4:AH10,AJ4:AJ10,AL4:AL10))</f>
        <v>0.0377993972688561</v>
      </c>
    </row>
    <row r="11" s="68" customFormat="1" ht="21.95" customHeight="1" spans="1:45">
      <c r="A11" s="8" t="s">
        <v>160</v>
      </c>
      <c r="B11" s="8">
        <v>424141</v>
      </c>
      <c r="C11" s="8">
        <v>177024</v>
      </c>
      <c r="D11" s="8">
        <v>138562</v>
      </c>
      <c r="E11" s="8">
        <v>11331</v>
      </c>
      <c r="F11" s="8"/>
      <c r="G11" s="8">
        <v>5072</v>
      </c>
      <c r="H11" s="8">
        <v>5362</v>
      </c>
      <c r="I11" s="8">
        <v>638</v>
      </c>
      <c r="J11" s="85">
        <f t="shared" si="0"/>
        <v>11072</v>
      </c>
      <c r="K11" s="86">
        <f>SUM($J$4:J11)/(($B$4)+SUM(C4:E11))</f>
        <v>0.0299273969530026</v>
      </c>
      <c r="L11" s="86">
        <f t="shared" si="1"/>
        <v>0.0147418708009235</v>
      </c>
      <c r="M11" s="85">
        <v>126888</v>
      </c>
      <c r="N11" s="85"/>
      <c r="O11" s="8"/>
      <c r="P11" s="8">
        <v>11682</v>
      </c>
      <c r="Q11" s="8">
        <v>36</v>
      </c>
      <c r="R11" s="8"/>
      <c r="S11" s="8">
        <v>1452</v>
      </c>
      <c r="T11" s="8">
        <f t="shared" si="2"/>
        <v>1488</v>
      </c>
      <c r="U11" s="87">
        <f t="shared" si="3"/>
        <v>0.010738255033557</v>
      </c>
      <c r="V11" s="87">
        <f>SUM(T4:T11)/($M$4+SUM(N4:N11,P4:P11,R4:R11))</f>
        <v>0.100514489126203</v>
      </c>
      <c r="W11" s="85">
        <v>151829</v>
      </c>
      <c r="X11" s="85"/>
      <c r="Y11" s="8"/>
      <c r="Z11" s="8">
        <v>4079</v>
      </c>
      <c r="AA11" s="8"/>
      <c r="AB11" s="8">
        <v>6557</v>
      </c>
      <c r="AC11" s="8">
        <v>1148</v>
      </c>
      <c r="AD11" s="8">
        <f t="shared" si="4"/>
        <v>1148</v>
      </c>
      <c r="AE11" s="87">
        <f t="shared" si="5"/>
        <v>0.00706613732188471</v>
      </c>
      <c r="AF11" s="87">
        <f>SUM(AD4:AD11)/($W$9+SUM(X4:X11,Z4:Z11,AB4:AB11))</f>
        <v>0.0188243901066434</v>
      </c>
      <c r="AG11" s="85">
        <v>132356</v>
      </c>
      <c r="AH11" s="85"/>
      <c r="AI11" s="8"/>
      <c r="AJ11" s="8"/>
      <c r="AK11" s="8"/>
      <c r="AL11" s="8"/>
      <c r="AM11" s="8">
        <v>450</v>
      </c>
      <c r="AN11" s="8">
        <f t="shared" si="9"/>
        <v>450</v>
      </c>
      <c r="AO11" s="87">
        <f t="shared" si="6"/>
        <v>0.0033999214240382</v>
      </c>
      <c r="AP11" s="87">
        <f>SUM(AN4:AN11)/($AG$9+SUM(AH4:AH11,AJ4:AJ11,AL4:AL11))</f>
        <v>0.0112514720051386</v>
      </c>
      <c r="AQ11" s="110">
        <f t="shared" si="7"/>
        <v>14158</v>
      </c>
      <c r="AR11" s="111">
        <f t="shared" si="8"/>
        <v>0.0119532373280741</v>
      </c>
      <c r="AS11" s="111">
        <f>SUM(AQ4:AQ11)/(B4+M4+W9+AG9+SUM(C4:E11)+SUM(N4:N11,P4:P11,R4:R11)+SUM(X4:X11,Z4:Z11,AB4:AB11)+SUM(AH4:AH11,AJ4:AJ11,AL4:AL11))</f>
        <v>0.038149899953419</v>
      </c>
    </row>
    <row r="12" s="68" customFormat="1" ht="21.95" customHeight="1" spans="1:45">
      <c r="A12" s="8" t="s">
        <v>161</v>
      </c>
      <c r="B12" s="8">
        <v>440768</v>
      </c>
      <c r="C12" s="8">
        <v>38878</v>
      </c>
      <c r="D12" s="8">
        <v>84195</v>
      </c>
      <c r="E12" s="8">
        <v>9274</v>
      </c>
      <c r="F12" s="8"/>
      <c r="G12" s="8">
        <v>5524</v>
      </c>
      <c r="H12" s="8">
        <v>1474</v>
      </c>
      <c r="I12" s="8"/>
      <c r="J12" s="85">
        <f t="shared" si="0"/>
        <v>6998</v>
      </c>
      <c r="K12" s="86">
        <f>SUM($J$4:J12)/(($B$4)+SUM(C4:E12))</f>
        <v>0.0312459300498205</v>
      </c>
      <c r="L12" s="86">
        <f t="shared" si="1"/>
        <v>0.0122104638685081</v>
      </c>
      <c r="M12" s="85">
        <v>135738</v>
      </c>
      <c r="N12" s="85"/>
      <c r="O12" s="8"/>
      <c r="P12" s="8">
        <v>7828</v>
      </c>
      <c r="Q12" s="8">
        <v>20</v>
      </c>
      <c r="R12" s="8"/>
      <c r="S12" s="8">
        <v>553</v>
      </c>
      <c r="T12" s="8">
        <f t="shared" si="2"/>
        <v>573</v>
      </c>
      <c r="U12" s="87">
        <f t="shared" si="3"/>
        <v>0.0039911956870011</v>
      </c>
      <c r="V12" s="87">
        <f>SUM(T4:T12)/($M$4+SUM(N4:N12,P4:P12,R4:R12))</f>
        <v>0.0999325001088708</v>
      </c>
      <c r="W12" s="85">
        <v>161096</v>
      </c>
      <c r="X12" s="85">
        <v>1645</v>
      </c>
      <c r="Y12" s="8">
        <v>1338</v>
      </c>
      <c r="Z12" s="8">
        <v>4019</v>
      </c>
      <c r="AA12" s="8"/>
      <c r="AB12" s="8"/>
      <c r="AC12" s="8"/>
      <c r="AD12" s="8">
        <f t="shared" si="4"/>
        <v>1338</v>
      </c>
      <c r="AE12" s="87">
        <f t="shared" si="5"/>
        <v>0.00802350683617174</v>
      </c>
      <c r="AF12" s="87">
        <f>SUM(AD4:AD12)/($W$9+SUM(X4:X12,Z4:Z12,AB4:AB12))</f>
        <v>0.0297913271167873</v>
      </c>
      <c r="AG12" s="85">
        <v>131877</v>
      </c>
      <c r="AH12" s="85"/>
      <c r="AI12" s="8"/>
      <c r="AJ12" s="8"/>
      <c r="AK12" s="8"/>
      <c r="AL12" s="8"/>
      <c r="AM12" s="8">
        <v>452</v>
      </c>
      <c r="AN12" s="8">
        <f t="shared" si="9"/>
        <v>452</v>
      </c>
      <c r="AO12" s="87">
        <f t="shared" si="6"/>
        <v>0.00342743617158413</v>
      </c>
      <c r="AP12" s="87">
        <f>SUM(AN4:AN12)/($AG$9+SUM(AH4:AH12,AJ4:AJ12,AL4:AL12))</f>
        <v>0.0160903543517825</v>
      </c>
      <c r="AQ12" s="110">
        <f t="shared" si="7"/>
        <v>9361</v>
      </c>
      <c r="AR12" s="111">
        <f t="shared" si="8"/>
        <v>0.00921977153955707</v>
      </c>
      <c r="AS12" s="111">
        <f>SUM(AQ4:AQ12)/(B4+M4+W9+AG9+SUM(C4:E12)+SUM(N4:N12,P4:P12,R4:R12)+SUM(X4:X12,Z4:Z12,AB4:AB12)+SUM(AH4:AH12,AJ4:AJ12,AL4:AL12))</f>
        <v>0.0394699654136337</v>
      </c>
    </row>
    <row r="13" s="68" customFormat="1" ht="21.95" customHeight="1" spans="1:45">
      <c r="A13" s="8" t="s">
        <v>162</v>
      </c>
      <c r="B13" s="8">
        <v>435465</v>
      </c>
      <c r="C13" s="8">
        <v>70818</v>
      </c>
      <c r="D13" s="8">
        <v>112188</v>
      </c>
      <c r="E13" s="8">
        <v>8039</v>
      </c>
      <c r="F13" s="8"/>
      <c r="G13" s="8">
        <v>1731</v>
      </c>
      <c r="H13" s="8">
        <v>1304</v>
      </c>
      <c r="I13" s="8">
        <v>751</v>
      </c>
      <c r="J13" s="85">
        <f t="shared" si="0"/>
        <v>3786</v>
      </c>
      <c r="K13" s="86">
        <f>SUM($J$4:J13)/(($B$4)+SUM(C4:E13))</f>
        <v>0.030370657519123</v>
      </c>
      <c r="L13" s="86">
        <f t="shared" si="1"/>
        <v>0.00604300011173006</v>
      </c>
      <c r="M13" s="85">
        <v>105788</v>
      </c>
      <c r="N13" s="85"/>
      <c r="O13" s="8"/>
      <c r="P13" s="8"/>
      <c r="Q13" s="8"/>
      <c r="R13" s="8">
        <v>82315</v>
      </c>
      <c r="S13" s="8">
        <v>584</v>
      </c>
      <c r="T13" s="8">
        <f t="shared" si="2"/>
        <v>584</v>
      </c>
      <c r="U13" s="87">
        <f t="shared" si="3"/>
        <v>0.00310468200932468</v>
      </c>
      <c r="V13" s="87">
        <f>SUM(T4:T13)/($M$4+SUM(N4:N13,P4:P13,R4:R13))</f>
        <v>0.0829399430315994</v>
      </c>
      <c r="W13" s="85">
        <v>137247</v>
      </c>
      <c r="X13" s="85"/>
      <c r="Y13" s="8">
        <v>5521</v>
      </c>
      <c r="Z13" s="8"/>
      <c r="AA13" s="8"/>
      <c r="AB13" s="8">
        <v>23591</v>
      </c>
      <c r="AC13" s="8"/>
      <c r="AD13" s="8">
        <f t="shared" si="4"/>
        <v>5521</v>
      </c>
      <c r="AE13" s="87">
        <f t="shared" si="5"/>
        <v>0.0343264651388353</v>
      </c>
      <c r="AF13" s="87">
        <f>SUM(AD4:AD13)/($W$9+SUM(X4:X13,Z4:Z13,AB4:AB13))</f>
        <v>0.0652525906735751</v>
      </c>
      <c r="AG13" s="85">
        <v>131523</v>
      </c>
      <c r="AH13" s="85"/>
      <c r="AI13" s="8"/>
      <c r="AJ13" s="8"/>
      <c r="AK13" s="8"/>
      <c r="AL13" s="8"/>
      <c r="AM13" s="8">
        <v>488</v>
      </c>
      <c r="AN13" s="8">
        <f t="shared" si="9"/>
        <v>488</v>
      </c>
      <c r="AO13" s="87">
        <f t="shared" si="6"/>
        <v>0.00371037765257788</v>
      </c>
      <c r="AP13" s="87">
        <f>SUM(AN4:AN13)/($AG$9+SUM(AH4:AH13,AJ4:AJ13,AL4:AL13))</f>
        <v>0.021314634407451</v>
      </c>
      <c r="AQ13" s="110">
        <f t="shared" si="7"/>
        <v>10379</v>
      </c>
      <c r="AR13" s="111">
        <f t="shared" si="8"/>
        <v>0.00937601063800956</v>
      </c>
      <c r="AS13" s="111">
        <f>SUM(AQ4:AQ13)/(B4+M4+W9+AG9+SUM(C4:E13)+SUM(N4:N13,P4:P13,R4:R13)+SUM(X4:X13,Z4:Z13,AB4:AB13)+SUM(AH4:AH13,AJ4:AJ13,AL4:AL13))</f>
        <v>0.0390472025052324</v>
      </c>
    </row>
    <row r="14" s="68" customFormat="1" ht="21.95" customHeight="1" spans="1:45">
      <c r="A14" s="8" t="s">
        <v>163</v>
      </c>
      <c r="B14" s="8">
        <v>458962</v>
      </c>
      <c r="C14" s="8">
        <v>12354</v>
      </c>
      <c r="D14" s="8">
        <v>79258</v>
      </c>
      <c r="E14" s="8">
        <v>18868</v>
      </c>
      <c r="F14" s="8"/>
      <c r="G14" s="8">
        <v>1847</v>
      </c>
      <c r="H14" s="8">
        <v>1057</v>
      </c>
      <c r="I14" s="8"/>
      <c r="J14" s="85">
        <f t="shared" si="0"/>
        <v>2904</v>
      </c>
      <c r="K14" s="86">
        <f>SUM($J$4:J14)/(($B$4)+SUM(C4:E14))</f>
        <v>0.0301973940045136</v>
      </c>
      <c r="L14" s="86">
        <f t="shared" si="1"/>
        <v>0.00509972920859368</v>
      </c>
      <c r="M14" s="85">
        <v>169808</v>
      </c>
      <c r="N14" s="85"/>
      <c r="O14" s="8"/>
      <c r="P14" s="8">
        <v>25331</v>
      </c>
      <c r="Q14" s="8"/>
      <c r="R14" s="8"/>
      <c r="S14" s="8">
        <f>408+276</f>
        <v>684</v>
      </c>
      <c r="T14" s="8">
        <f t="shared" si="2"/>
        <v>684</v>
      </c>
      <c r="U14" s="87">
        <f t="shared" si="3"/>
        <v>0.00350519373369752</v>
      </c>
      <c r="V14" s="87">
        <f>SUM(T4:T14)/($M$4+SUM(N4:N14,P4:P14,R4:R14))</f>
        <v>0.0799572259153696</v>
      </c>
      <c r="W14" s="85">
        <v>128924</v>
      </c>
      <c r="X14" s="85"/>
      <c r="Y14" s="8">
        <v>1088</v>
      </c>
      <c r="Z14" s="8">
        <v>8574</v>
      </c>
      <c r="AA14" s="8"/>
      <c r="AB14" s="8">
        <v>19092</v>
      </c>
      <c r="AC14" s="8">
        <v>335</v>
      </c>
      <c r="AD14" s="8">
        <f t="shared" si="4"/>
        <v>1423</v>
      </c>
      <c r="AE14" s="87">
        <f t="shared" si="5"/>
        <v>0.00908742576154288</v>
      </c>
      <c r="AF14" s="87">
        <f>SUM(AD4:AD14)/($W$9+SUM(X4:X14,Z4:Z14,AB4:AB14))</f>
        <v>0.062915041152515</v>
      </c>
      <c r="AG14" s="85">
        <v>99955</v>
      </c>
      <c r="AH14" s="85"/>
      <c r="AI14" s="8"/>
      <c r="AJ14" s="8">
        <v>7166</v>
      </c>
      <c r="AK14" s="8"/>
      <c r="AL14" s="8">
        <v>25666</v>
      </c>
      <c r="AM14" s="8">
        <v>518</v>
      </c>
      <c r="AN14" s="8">
        <f t="shared" si="9"/>
        <v>518</v>
      </c>
      <c r="AO14" s="87">
        <f t="shared" si="6"/>
        <v>0.0039009842831</v>
      </c>
      <c r="AP14" s="87">
        <f>SUM(AN4:AN14)/($AG$9+SUM(AH4:AH14,AJ4:AJ14,AL4:AL14))</f>
        <v>0.0198745267026821</v>
      </c>
      <c r="AQ14" s="110">
        <f t="shared" si="7"/>
        <v>5529</v>
      </c>
      <c r="AR14" s="111">
        <f t="shared" si="8"/>
        <v>0.00524593959152072</v>
      </c>
      <c r="AS14" s="111">
        <f>SUM(AQ4:AQ14)/(B4+M4+W9+AG9+SUM(C4:E14)+SUM(N4:N14,P4:P14,R4:R14)+SUM(X4:X14,Z4:Z14,AB4:AB14)+SUM(AH4:AH14,AJ4:AJ14,AL4:AL14))</f>
        <v>0.0384132479204422</v>
      </c>
    </row>
    <row r="15" s="68" customFormat="1" ht="21.95" customHeight="1" spans="1:45">
      <c r="A15" s="8" t="s">
        <v>164</v>
      </c>
      <c r="B15" s="8">
        <v>465952</v>
      </c>
      <c r="C15" s="8">
        <v>17692</v>
      </c>
      <c r="D15" s="8">
        <v>36963</v>
      </c>
      <c r="E15" s="8">
        <v>15400</v>
      </c>
      <c r="F15" s="8">
        <v>6</v>
      </c>
      <c r="G15" s="8">
        <v>1977</v>
      </c>
      <c r="H15" s="8">
        <v>94</v>
      </c>
      <c r="I15" s="8">
        <v>483</v>
      </c>
      <c r="J15" s="85">
        <f t="shared" si="0"/>
        <v>2560</v>
      </c>
      <c r="K15" s="86">
        <f>SUM($J$4:J15)/(($B$4)+SUM(C4:E15))</f>
        <v>0.0303635673079511</v>
      </c>
      <c r="L15" s="86">
        <f t="shared" si="1"/>
        <v>0.00477605702910596</v>
      </c>
      <c r="M15" s="85">
        <v>136170</v>
      </c>
      <c r="N15" s="85"/>
      <c r="O15" s="8"/>
      <c r="P15" s="8">
        <v>20287</v>
      </c>
      <c r="Q15" s="8"/>
      <c r="R15" s="8"/>
      <c r="S15" s="8">
        <v>207</v>
      </c>
      <c r="T15" s="8">
        <f t="shared" si="2"/>
        <v>207</v>
      </c>
      <c r="U15" s="87">
        <f t="shared" si="3"/>
        <v>0.00132304722703363</v>
      </c>
      <c r="V15" s="87">
        <f>SUM(T4:T15)/($M$4+SUM(N4:N15,P4:P15,R4:R15))</f>
        <v>0.0771004217296771</v>
      </c>
      <c r="W15" s="85">
        <v>109706</v>
      </c>
      <c r="X15" s="85">
        <v>40680</v>
      </c>
      <c r="Y15" s="8">
        <v>588</v>
      </c>
      <c r="Z15" s="8"/>
      <c r="AA15" s="8"/>
      <c r="AB15" s="8"/>
      <c r="AC15" s="8"/>
      <c r="AD15" s="8">
        <f t="shared" si="4"/>
        <v>588</v>
      </c>
      <c r="AE15" s="87">
        <f t="shared" si="5"/>
        <v>0.00390993842511936</v>
      </c>
      <c r="AF15" s="87">
        <f>SUM(AD4:AD15)/($W$9+SUM(X4:X15,Z4:Z15,AB4:AB15))</f>
        <v>0.0532617105250272</v>
      </c>
      <c r="AG15" s="85">
        <v>141605</v>
      </c>
      <c r="AH15" s="85"/>
      <c r="AI15" s="8"/>
      <c r="AJ15" s="8"/>
      <c r="AK15" s="8"/>
      <c r="AL15" s="8"/>
      <c r="AM15" s="8">
        <v>1054</v>
      </c>
      <c r="AN15" s="8">
        <f t="shared" si="9"/>
        <v>1054</v>
      </c>
      <c r="AO15" s="87">
        <f t="shared" si="6"/>
        <v>0.00744323999858762</v>
      </c>
      <c r="AP15" s="87">
        <f>SUM(AN4:AN15)/($AG$9+SUM(AH4:AH15,AJ4:AJ15,AL4:AL15))</f>
        <v>0.0282235706024936</v>
      </c>
      <c r="AQ15" s="110">
        <f t="shared" si="7"/>
        <v>4409</v>
      </c>
      <c r="AR15" s="111">
        <f t="shared" si="8"/>
        <v>0.00447862015023541</v>
      </c>
      <c r="AS15" s="111">
        <f>SUM(AQ4:AQ15)/(B4+M4+W9+AG9+SUM(C4:E15)+SUM(N4:N15,P4:P15,R4:R15)+SUM(X4:X15,Z4:Z15,AB4:AB15)+SUM(AH4:AH15,AJ4:AJ15,AL4:AL15))</f>
        <v>0.0382350109930477</v>
      </c>
    </row>
    <row r="16" s="68" customFormat="1" ht="27" customHeight="1" spans="1:45">
      <c r="A16" s="17" t="s">
        <v>82</v>
      </c>
      <c r="B16" s="17">
        <f t="shared" ref="B16:J16" si="10">SUM(B4:B15)</f>
        <v>5207710</v>
      </c>
      <c r="C16" s="17">
        <f t="shared" si="10"/>
        <v>1091651</v>
      </c>
      <c r="D16" s="17">
        <f t="shared" si="10"/>
        <v>1018915</v>
      </c>
      <c r="E16" s="17">
        <f t="shared" si="10"/>
        <v>160586</v>
      </c>
      <c r="F16" s="17">
        <f t="shared" si="10"/>
        <v>429</v>
      </c>
      <c r="G16" s="17">
        <f t="shared" si="10"/>
        <v>52881</v>
      </c>
      <c r="H16" s="17">
        <f t="shared" si="10"/>
        <v>22367</v>
      </c>
      <c r="I16" s="17">
        <f t="shared" si="10"/>
        <v>5547</v>
      </c>
      <c r="J16" s="17">
        <f t="shared" si="10"/>
        <v>81224</v>
      </c>
      <c r="K16" s="88">
        <f>J16/(B4+C16+D16+E16)</f>
        <v>0.0303635673079511</v>
      </c>
      <c r="L16" s="88"/>
      <c r="M16" s="17">
        <f t="shared" ref="M16:T16" si="11">SUM(M4:M15)</f>
        <v>1648251</v>
      </c>
      <c r="N16" s="17">
        <f t="shared" si="11"/>
        <v>0</v>
      </c>
      <c r="O16" s="17">
        <f t="shared" si="11"/>
        <v>173</v>
      </c>
      <c r="P16" s="17">
        <f t="shared" si="11"/>
        <v>219265</v>
      </c>
      <c r="Q16" s="17">
        <f t="shared" si="11"/>
        <v>750</v>
      </c>
      <c r="R16" s="17">
        <f t="shared" si="11"/>
        <v>124979</v>
      </c>
      <c r="S16" s="17">
        <f t="shared" si="11"/>
        <v>37268</v>
      </c>
      <c r="T16" s="17">
        <f t="shared" si="11"/>
        <v>38191</v>
      </c>
      <c r="U16" s="89">
        <f>T16/(M4+N16+P16+R16)</f>
        <v>0.0771004217296771</v>
      </c>
      <c r="V16" s="89"/>
      <c r="W16" s="17">
        <f t="shared" ref="W16:AD16" si="12">SUM(W4:W15)</f>
        <v>811012</v>
      </c>
      <c r="X16" s="17">
        <f t="shared" si="12"/>
        <v>42325</v>
      </c>
      <c r="Y16" s="17">
        <f t="shared" si="12"/>
        <v>8535</v>
      </c>
      <c r="Z16" s="17">
        <f t="shared" si="12"/>
        <v>24691</v>
      </c>
      <c r="AA16" s="17">
        <f t="shared" si="12"/>
        <v>0</v>
      </c>
      <c r="AB16" s="17">
        <f t="shared" si="12"/>
        <v>80591</v>
      </c>
      <c r="AC16" s="17">
        <f t="shared" si="12"/>
        <v>2342</v>
      </c>
      <c r="AD16" s="17">
        <f t="shared" si="12"/>
        <v>10877</v>
      </c>
      <c r="AE16" s="89">
        <f>AD16/(W4+X16+Z16+AB16)</f>
        <v>0.0736889171922741</v>
      </c>
      <c r="AF16" s="89"/>
      <c r="AG16" s="17">
        <f>SUM(AG4:AG15)</f>
        <v>823818</v>
      </c>
      <c r="AH16" s="17">
        <f t="shared" ref="AG16:AN16" si="13">SUM(AH4:AH15)</f>
        <v>0</v>
      </c>
      <c r="AI16" s="17">
        <f t="shared" si="13"/>
        <v>0</v>
      </c>
      <c r="AJ16" s="17">
        <f t="shared" si="13"/>
        <v>7166</v>
      </c>
      <c r="AK16" s="17">
        <f t="shared" si="13"/>
        <v>0</v>
      </c>
      <c r="AL16" s="17">
        <f t="shared" si="13"/>
        <v>56415</v>
      </c>
      <c r="AM16" s="17">
        <f t="shared" si="13"/>
        <v>3563</v>
      </c>
      <c r="AN16" s="17">
        <f t="shared" si="13"/>
        <v>3563</v>
      </c>
      <c r="AO16" s="89">
        <f>AN16/(AG4+AH16+AJ16+AL16)</f>
        <v>0.0560387537157327</v>
      </c>
      <c r="AP16" s="89"/>
      <c r="AQ16" s="110">
        <f>SUM(AQ4:AQ15)</f>
        <v>133855</v>
      </c>
      <c r="AR16" s="110"/>
      <c r="AS16" s="110"/>
    </row>
    <row r="17" s="69" customFormat="1" ht="21.95" customHeight="1" spans="2:39">
      <c r="B17" s="90"/>
      <c r="C17" s="91"/>
      <c r="D17" s="91"/>
      <c r="E17" s="91"/>
      <c r="F17" s="91"/>
      <c r="G17" s="91"/>
      <c r="H17" s="91"/>
      <c r="I17" s="91"/>
      <c r="J17" s="91"/>
      <c r="S17" s="92" t="s">
        <v>207</v>
      </c>
      <c r="AC17" s="92" t="s">
        <v>207</v>
      </c>
      <c r="AM17" s="92" t="s">
        <v>207</v>
      </c>
    </row>
    <row r="18" s="69" customFormat="1" ht="21.95" customHeight="1" spans="2:39">
      <c r="G18" s="112"/>
      <c r="H18" s="112"/>
      <c r="AG18" s="69">
        <f>AD9+AN9</f>
        <v>604</v>
      </c>
    </row>
    <row r="19" s="69" customFormat="1" ht="21.95" customHeight="1" spans="2:39">
      <c r="F19" s="91"/>
      <c r="G19" s="112"/>
      <c r="H19" s="113"/>
      <c r="K19" s="114"/>
    </row>
    <row r="20" s="69" customFormat="1" ht="21.95" customHeight="1"/>
    <row r="21" s="69" customFormat="1" ht="21.95" customHeight="1" spans="2:39">
      <c r="E21" s="116">
        <f>C16+P16+R16+X16+Z16+AB16+AJ16+AL16</f>
        <v>1647083</v>
      </c>
      <c r="F21" s="115"/>
    </row>
    <row r="22" s="69" customFormat="1" ht="21.95" customHeight="1"/>
    <row r="23" s="69" customFormat="1" ht="21.95" customHeight="1"/>
    <row r="24" s="69" customFormat="1" ht="21.95" customHeight="1"/>
    <row r="25" s="69" customFormat="1" ht="21.95" customHeight="1"/>
    <row r="26" s="69" customFormat="1" ht="21.95" customHeight="1"/>
    <row r="27" s="69" customFormat="1" ht="21.95" customHeight="1"/>
    <row r="28" s="69" customFormat="1" ht="21.95" customHeight="1"/>
    <row r="29" s="69" customFormat="1" ht="21.95" customHeight="1"/>
    <row r="30" s="69" customFormat="1" ht="21.95" customHeight="1"/>
    <row r="31" s="69" customFormat="1" ht="21.95" customHeight="1"/>
  </sheetData>
  <mergeCells count="25">
    <mergeCell ref="A1:U1"/>
    <mergeCell ref="G2:J2"/>
    <mergeCell ref="N2:T2"/>
    <mergeCell ref="X2:AD2"/>
    <mergeCell ref="AH2:AN2"/>
    <mergeCell ref="B17:J17"/>
    <mergeCell ref="A2:A3"/>
    <mergeCell ref="B2:B3"/>
    <mergeCell ref="C2:C3"/>
    <mergeCell ref="D2:D3"/>
    <mergeCell ref="E2:E3"/>
    <mergeCell ref="K2:K3"/>
    <mergeCell ref="L2:L3"/>
    <mergeCell ref="M2:M3"/>
    <mergeCell ref="U2:U3"/>
    <mergeCell ref="V2:V3"/>
    <mergeCell ref="W2:W3"/>
    <mergeCell ref="AE2:AE3"/>
    <mergeCell ref="AF2:AF3"/>
    <mergeCell ref="AG2:AG3"/>
    <mergeCell ref="AO2:AO3"/>
    <mergeCell ref="AP2:AP3"/>
    <mergeCell ref="AQ2:AQ3"/>
    <mergeCell ref="AR2:AR3"/>
    <mergeCell ref="AS2:AS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1"/>
  <sheetViews>
    <sheetView workbookViewId="0">
      <selection activeCell="R10" sqref="R10"/>
    </sheetView>
  </sheetViews>
  <sheetFormatPr defaultColWidth="9" defaultRowHeight="13.8"/>
  <cols>
    <col min="1" max="1" width="5" style="65" customWidth="1"/>
    <col min="2" max="2" width="8.875" style="65" customWidth="1"/>
    <col min="3" max="3" width="8.75" style="65" customWidth="1"/>
    <col min="4" max="4" width="8.125" style="65" customWidth="1"/>
    <col min="5" max="6" width="7.75" style="65" customWidth="1"/>
    <col min="7" max="7" width="7.375" style="65" customWidth="1"/>
    <col min="8" max="8" width="7.375" style="105" customWidth="1"/>
    <col min="9" max="9" width="6.75" style="70" customWidth="1"/>
    <col min="10" max="10" width="8.25" style="70" customWidth="1"/>
    <col min="11" max="11" width="10.875" style="70" customWidth="1"/>
    <col min="12" max="12" width="8.875" style="70" customWidth="1"/>
    <col min="13" max="13" width="9.25" style="70" customWidth="1"/>
    <col min="14" max="14" width="8" style="70" customWidth="1"/>
    <col min="15" max="15" width="6.875" style="70" customWidth="1"/>
    <col min="16" max="16" width="8.25" style="70" customWidth="1"/>
    <col min="17" max="17" width="6.75" style="70" customWidth="1"/>
    <col min="18" max="18" width="8.125" style="70" customWidth="1"/>
    <col min="19" max="19" width="7" style="70" customWidth="1"/>
    <col min="20" max="20" width="8.25" style="70" customWidth="1"/>
    <col min="21" max="21" width="10.625" style="70" customWidth="1"/>
    <col min="22" max="22" width="10.75" style="70" customWidth="1"/>
    <col min="23" max="23" width="9.25" style="70" customWidth="1"/>
    <col min="24" max="24" width="8" style="70" customWidth="1"/>
    <col min="25" max="25" width="6.875" style="70" customWidth="1"/>
    <col min="26" max="26" width="8.25" style="70" customWidth="1"/>
    <col min="27" max="27" width="6.75" style="70" customWidth="1"/>
    <col min="28" max="28" width="8.125" style="70" customWidth="1"/>
    <col min="29" max="29" width="7" style="70" customWidth="1"/>
    <col min="30" max="30" width="8.25" style="70" customWidth="1"/>
    <col min="31" max="31" width="10.625" style="70" customWidth="1"/>
    <col min="32" max="32" width="10.75" style="70" customWidth="1"/>
    <col min="33" max="33" width="9.25" style="70" customWidth="1"/>
    <col min="34" max="34" width="8" style="70" customWidth="1"/>
    <col min="35" max="35" width="6.875" style="70" customWidth="1"/>
    <col min="36" max="36" width="8.25" style="70" customWidth="1"/>
    <col min="37" max="37" width="6.75" style="70" customWidth="1"/>
    <col min="38" max="38" width="8.125" style="70" customWidth="1"/>
    <col min="39" max="39" width="7" style="70" customWidth="1"/>
    <col min="40" max="40" width="8.25" style="70" customWidth="1"/>
    <col min="41" max="41" width="10.625" style="70" customWidth="1"/>
    <col min="42" max="42" width="10.75" style="70" customWidth="1"/>
    <col min="43" max="43" width="9" style="65"/>
    <col min="44" max="44" width="18.75" style="65" customWidth="1"/>
    <col min="45" max="45" width="26.75" style="65" customWidth="1"/>
    <col min="46" max="16384" width="9" style="65"/>
  </cols>
  <sheetData>
    <row r="1" s="65" customFormat="1" ht="27" customHeight="1" spans="1:45">
      <c r="A1" s="71" t="s">
        <v>208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0"/>
      <c r="W1" s="71"/>
      <c r="X1" s="71"/>
      <c r="Y1" s="71"/>
      <c r="Z1" s="71"/>
      <c r="AA1" s="71"/>
      <c r="AB1" s="71"/>
      <c r="AC1" s="71"/>
      <c r="AD1" s="71"/>
      <c r="AE1" s="71"/>
      <c r="AF1" s="70"/>
      <c r="AG1" s="71"/>
      <c r="AH1" s="71"/>
      <c r="AI1" s="71"/>
      <c r="AJ1" s="71"/>
      <c r="AK1" s="71"/>
      <c r="AL1" s="71"/>
      <c r="AM1" s="71"/>
      <c r="AN1" s="71"/>
      <c r="AO1" s="71"/>
      <c r="AP1" s="70"/>
    </row>
    <row r="2" s="66" customFormat="1" ht="27" customHeight="1" spans="1:45">
      <c r="A2" s="72" t="s">
        <v>1</v>
      </c>
      <c r="B2" s="73" t="s">
        <v>172</v>
      </c>
      <c r="C2" s="73" t="s">
        <v>173</v>
      </c>
      <c r="D2" s="73" t="s">
        <v>174</v>
      </c>
      <c r="E2" s="74" t="s">
        <v>175</v>
      </c>
      <c r="F2" s="106"/>
      <c r="G2" s="75" t="s">
        <v>176</v>
      </c>
      <c r="H2" s="76"/>
      <c r="I2" s="76"/>
      <c r="J2" s="77"/>
      <c r="K2" s="78" t="s">
        <v>177</v>
      </c>
      <c r="L2" s="78" t="s">
        <v>178</v>
      </c>
      <c r="M2" s="73" t="s">
        <v>179</v>
      </c>
      <c r="N2" s="79" t="s">
        <v>180</v>
      </c>
      <c r="O2" s="76"/>
      <c r="P2" s="76"/>
      <c r="Q2" s="76"/>
      <c r="R2" s="76"/>
      <c r="S2" s="76"/>
      <c r="T2" s="80"/>
      <c r="U2" s="78" t="s">
        <v>181</v>
      </c>
      <c r="V2" s="78" t="s">
        <v>182</v>
      </c>
      <c r="W2" s="73" t="s">
        <v>183</v>
      </c>
      <c r="X2" s="79" t="s">
        <v>184</v>
      </c>
      <c r="Y2" s="76"/>
      <c r="Z2" s="76"/>
      <c r="AA2" s="76"/>
      <c r="AB2" s="76"/>
      <c r="AC2" s="76"/>
      <c r="AD2" s="80"/>
      <c r="AE2" s="78" t="s">
        <v>185</v>
      </c>
      <c r="AF2" s="78" t="s">
        <v>186</v>
      </c>
      <c r="AG2" s="73" t="s">
        <v>187</v>
      </c>
      <c r="AH2" s="79" t="s">
        <v>188</v>
      </c>
      <c r="AI2" s="76"/>
      <c r="AJ2" s="76"/>
      <c r="AK2" s="76"/>
      <c r="AL2" s="76"/>
      <c r="AM2" s="76"/>
      <c r="AN2" s="80"/>
      <c r="AO2" s="78" t="s">
        <v>189</v>
      </c>
      <c r="AP2" s="78" t="s">
        <v>190</v>
      </c>
      <c r="AQ2" s="73" t="s">
        <v>191</v>
      </c>
      <c r="AR2" s="73" t="s">
        <v>192</v>
      </c>
      <c r="AS2" s="73" t="s">
        <v>193</v>
      </c>
    </row>
    <row r="3" s="67" customFormat="1" ht="59" customHeight="1" spans="1:45">
      <c r="A3" s="72"/>
      <c r="B3" s="73"/>
      <c r="C3" s="73"/>
      <c r="D3" s="73"/>
      <c r="E3" s="81"/>
      <c r="F3" s="104" t="s">
        <v>194</v>
      </c>
      <c r="G3" s="104" t="s">
        <v>195</v>
      </c>
      <c r="H3" s="107" t="s">
        <v>196</v>
      </c>
      <c r="I3" s="73" t="s">
        <v>197</v>
      </c>
      <c r="J3" s="83" t="s">
        <v>198</v>
      </c>
      <c r="K3" s="78"/>
      <c r="L3" s="78"/>
      <c r="M3" s="73"/>
      <c r="N3" s="73" t="s">
        <v>199</v>
      </c>
      <c r="O3" s="97" t="s">
        <v>200</v>
      </c>
      <c r="P3" s="73" t="s">
        <v>201</v>
      </c>
      <c r="Q3" s="97" t="s">
        <v>194</v>
      </c>
      <c r="R3" s="73" t="s">
        <v>202</v>
      </c>
      <c r="S3" s="97" t="s">
        <v>195</v>
      </c>
      <c r="T3" s="97" t="s">
        <v>203</v>
      </c>
      <c r="U3" s="84"/>
      <c r="V3" s="84"/>
      <c r="W3" s="73"/>
      <c r="X3" s="73" t="s">
        <v>204</v>
      </c>
      <c r="Y3" s="97" t="s">
        <v>196</v>
      </c>
      <c r="Z3" s="73" t="s">
        <v>201</v>
      </c>
      <c r="AA3" s="97" t="s">
        <v>194</v>
      </c>
      <c r="AB3" s="73" t="s">
        <v>202</v>
      </c>
      <c r="AC3" s="97" t="s">
        <v>195</v>
      </c>
      <c r="AD3" s="97" t="s">
        <v>205</v>
      </c>
      <c r="AE3" s="84"/>
      <c r="AF3" s="84"/>
      <c r="AG3" s="73"/>
      <c r="AH3" s="73" t="s">
        <v>199</v>
      </c>
      <c r="AI3" s="97" t="s">
        <v>200</v>
      </c>
      <c r="AJ3" s="73" t="s">
        <v>201</v>
      </c>
      <c r="AK3" s="97" t="s">
        <v>194</v>
      </c>
      <c r="AL3" s="73" t="s">
        <v>202</v>
      </c>
      <c r="AM3" s="97" t="s">
        <v>195</v>
      </c>
      <c r="AN3" s="97" t="s">
        <v>206</v>
      </c>
      <c r="AO3" s="84"/>
      <c r="AP3" s="84"/>
      <c r="AQ3" s="108"/>
      <c r="AR3" s="108"/>
      <c r="AS3" s="108"/>
    </row>
    <row r="4" s="68" customFormat="1" ht="21.95" customHeight="1" spans="1:45">
      <c r="A4" s="8" t="s">
        <v>36</v>
      </c>
      <c r="B4" s="8">
        <v>463117</v>
      </c>
      <c r="C4" s="8">
        <v>15010</v>
      </c>
      <c r="D4" s="8">
        <v>167933</v>
      </c>
      <c r="E4" s="8">
        <v>22861</v>
      </c>
      <c r="F4" s="8"/>
      <c r="G4" s="8"/>
      <c r="H4" s="109"/>
      <c r="I4" s="85"/>
      <c r="J4" s="85">
        <f t="shared" ref="J4:J15" si="0">G4+I4+F4+H4</f>
        <v>0</v>
      </c>
      <c r="K4" s="86">
        <f>J4/SUM(B4:E4)</f>
        <v>0</v>
      </c>
      <c r="L4" s="86">
        <f t="shared" ref="L4:L15" si="1">J4/SUM(B4:E4)</f>
        <v>0</v>
      </c>
      <c r="M4" s="85">
        <v>94200</v>
      </c>
      <c r="N4" s="85"/>
      <c r="O4" s="8"/>
      <c r="P4" s="8">
        <v>55123</v>
      </c>
      <c r="Q4" s="8"/>
      <c r="R4" s="8"/>
      <c r="S4" s="8"/>
      <c r="T4" s="8">
        <f t="shared" ref="T4:T15" si="2">O4+Q4+S4</f>
        <v>0</v>
      </c>
      <c r="U4" s="87">
        <f t="shared" ref="U4:U15" si="3">T4/(M4+N4+P4+R4)</f>
        <v>0</v>
      </c>
      <c r="V4" s="87">
        <f>T4/($M$4+SUM(N4,P4,R4))</f>
        <v>0</v>
      </c>
      <c r="W4" s="85">
        <v>175738</v>
      </c>
      <c r="X4" s="85"/>
      <c r="Y4" s="8"/>
      <c r="Z4" s="8"/>
      <c r="AA4" s="8"/>
      <c r="AB4" s="8"/>
      <c r="AC4" s="8"/>
      <c r="AD4" s="8">
        <f t="shared" ref="AD4:AD15" si="4">Y4+AA4+AC4</f>
        <v>0</v>
      </c>
      <c r="AE4" s="87">
        <f t="shared" ref="AE4:AE15" si="5">AD4/(W4+X4+Z4+AB4)</f>
        <v>0</v>
      </c>
      <c r="AF4" s="87">
        <f>AD4/($M$4+SUM(X4,Z4,AB4))</f>
        <v>0</v>
      </c>
      <c r="AG4" s="85">
        <v>142807</v>
      </c>
      <c r="AH4" s="85"/>
      <c r="AI4" s="8"/>
      <c r="AJ4" s="8"/>
      <c r="AK4" s="8"/>
      <c r="AL4" s="8"/>
      <c r="AM4" s="8">
        <v>1817</v>
      </c>
      <c r="AN4" s="8">
        <f t="shared" ref="AN4:AN15" si="6">AI4+AK4+AM4</f>
        <v>1817</v>
      </c>
      <c r="AO4" s="87">
        <f t="shared" ref="AO4:AO15" si="7">AN4/(AG4+AH4+AJ4+AL4)</f>
        <v>0.0127234659365437</v>
      </c>
      <c r="AP4" s="87">
        <f>AN4/($M$4+SUM(AH4,AJ4,AL4))</f>
        <v>0.0192887473460722</v>
      </c>
      <c r="AQ4" s="110">
        <f t="shared" ref="AQ4:AQ15" si="8">J4+T4+AD4+AN4</f>
        <v>1817</v>
      </c>
      <c r="AR4" s="111">
        <f t="shared" ref="AR4:AR15" si="9">AQ4/(B4+C4+D4+E4+M4+N4+P4+R4+W4+X4+Z4+AB4+AG4+AH4+AJ4+AL4)</f>
        <v>0.00159836170124799</v>
      </c>
      <c r="AS4" s="111">
        <f>SUM(AQ3:AQ4)/(B3+M3+W3+AG3+SUM(C3:E4)+SUM(N3:N4,P3:P4,R3:R4)+SUM(X3:X4,Z3:Z4,AB3:AB4)+SUM(AH3:AH4,AJ3:AJ4,AL3:AL4))</f>
        <v>0.00696363350668961</v>
      </c>
    </row>
    <row r="5" s="68" customFormat="1" ht="21.95" customHeight="1" spans="1:45">
      <c r="A5" s="8" t="s">
        <v>37</v>
      </c>
      <c r="B5" s="8">
        <v>308015</v>
      </c>
      <c r="C5" s="8">
        <v>60837</v>
      </c>
      <c r="D5" s="8">
        <v>182415</v>
      </c>
      <c r="E5" s="8">
        <v>33873</v>
      </c>
      <c r="F5" s="8"/>
      <c r="G5" s="8"/>
      <c r="H5" s="8">
        <v>9507</v>
      </c>
      <c r="I5" s="8"/>
      <c r="J5" s="85">
        <f t="shared" si="0"/>
        <v>9507</v>
      </c>
      <c r="K5" s="86">
        <f>SUM($J$4:J5)/(($B$4)+SUM(C4:E5))</f>
        <v>0.0100491942252279</v>
      </c>
      <c r="L5" s="86">
        <f t="shared" si="1"/>
        <v>0.0162473937861025</v>
      </c>
      <c r="M5" s="85">
        <v>128668</v>
      </c>
      <c r="N5" s="85"/>
      <c r="O5" s="8"/>
      <c r="P5" s="8">
        <v>14955</v>
      </c>
      <c r="Q5" s="8"/>
      <c r="R5" s="8"/>
      <c r="S5" s="8">
        <v>763</v>
      </c>
      <c r="T5" s="8">
        <f t="shared" si="2"/>
        <v>763</v>
      </c>
      <c r="U5" s="87">
        <f t="shared" si="3"/>
        <v>0.00531251958251812</v>
      </c>
      <c r="V5" s="87">
        <f>SUM(T4:T5)/($M$4+SUM(N4:N5,P4:P5,R4:R5))</f>
        <v>0.00464456591874749</v>
      </c>
      <c r="W5" s="85">
        <v>175534</v>
      </c>
      <c r="X5" s="85"/>
      <c r="Y5" s="8"/>
      <c r="Z5" s="8"/>
      <c r="AA5" s="8"/>
      <c r="AB5" s="8"/>
      <c r="AC5" s="8">
        <v>591</v>
      </c>
      <c r="AD5" s="8">
        <f t="shared" si="4"/>
        <v>591</v>
      </c>
      <c r="AE5" s="87">
        <f t="shared" si="5"/>
        <v>0.00336686909658528</v>
      </c>
      <c r="AF5" s="87">
        <f>SUM(AD4:AD5)/($M$4+SUM(X4:X5,Z4:Z5,AB4:AB5))</f>
        <v>0.00627388535031847</v>
      </c>
      <c r="AG5" s="85">
        <v>140885</v>
      </c>
      <c r="AH5" s="85"/>
      <c r="AI5" s="8"/>
      <c r="AJ5" s="8"/>
      <c r="AK5" s="8"/>
      <c r="AL5" s="8"/>
      <c r="AM5" s="8">
        <v>1294</v>
      </c>
      <c r="AN5" s="8">
        <f t="shared" si="6"/>
        <v>1294</v>
      </c>
      <c r="AO5" s="87">
        <f t="shared" si="7"/>
        <v>0.00918479611030273</v>
      </c>
      <c r="AP5" s="87">
        <f>SUM(AN4:AN5)/($M$4+SUM(AH4:AH5,AJ4:AJ5,AL4:AL5))</f>
        <v>0.0330254777070064</v>
      </c>
      <c r="AQ5" s="110">
        <f t="shared" si="8"/>
        <v>12155</v>
      </c>
      <c r="AR5" s="111">
        <f t="shared" si="9"/>
        <v>0.011629553513168</v>
      </c>
      <c r="AS5" s="111">
        <f>SUM(AQ4:AQ5)/(B4+M4+W4+AG4+SUM(C4:E5)+SUM(N4:N5,P4:P5,R4:R5)+SUM(X4:X5,Z4:Z5,AB4:AB5)+SUM(AH4:AH5,AJ4:AJ5,AL4:AL5))</f>
        <v>0.00977836316695232</v>
      </c>
    </row>
    <row r="6" s="68" customFormat="1" ht="21.95" customHeight="1" spans="1:45">
      <c r="A6" s="8" t="s">
        <v>38</v>
      </c>
      <c r="B6" s="8"/>
      <c r="C6" s="8"/>
      <c r="D6" s="8"/>
      <c r="E6" s="8"/>
      <c r="F6" s="8"/>
      <c r="G6" s="8"/>
      <c r="H6" s="8"/>
      <c r="I6" s="8"/>
      <c r="J6" s="85">
        <f t="shared" si="0"/>
        <v>0</v>
      </c>
      <c r="K6" s="86">
        <f>SUM(J$4:J6)/(($B$4)+SUM(C4:E6))</f>
        <v>0.0100491942252279</v>
      </c>
      <c r="L6" s="86" t="e">
        <f t="shared" si="1"/>
        <v>#DIV/0!</v>
      </c>
      <c r="M6" s="85"/>
      <c r="N6" s="85"/>
      <c r="O6" s="8"/>
      <c r="P6" s="8"/>
      <c r="Q6" s="8"/>
      <c r="R6" s="8"/>
      <c r="S6" s="8"/>
      <c r="T6" s="8">
        <f t="shared" si="2"/>
        <v>0</v>
      </c>
      <c r="U6" s="87" t="e">
        <f t="shared" si="3"/>
        <v>#DIV/0!</v>
      </c>
      <c r="V6" s="87">
        <f>SUM(T4:T6)/($M$4+SUM(N4:N6,P4:P6,R4:R6))</f>
        <v>0.00464456591874749</v>
      </c>
      <c r="W6" s="85"/>
      <c r="X6" s="85"/>
      <c r="Y6" s="8"/>
      <c r="Z6" s="8"/>
      <c r="AA6" s="8"/>
      <c r="AB6" s="8"/>
      <c r="AC6" s="8"/>
      <c r="AD6" s="8">
        <f t="shared" si="4"/>
        <v>0</v>
      </c>
      <c r="AE6" s="87" t="e">
        <f t="shared" si="5"/>
        <v>#DIV/0!</v>
      </c>
      <c r="AF6" s="87">
        <f>SUM(AD4:AD6)/($M$4+SUM(X4:X6,Z4:Z6,AB4:AB6))</f>
        <v>0.00627388535031847</v>
      </c>
      <c r="AG6" s="85"/>
      <c r="AH6" s="85"/>
      <c r="AI6" s="8"/>
      <c r="AJ6" s="8"/>
      <c r="AK6" s="8"/>
      <c r="AL6" s="8"/>
      <c r="AM6" s="8"/>
      <c r="AN6" s="8">
        <f t="shared" si="6"/>
        <v>0</v>
      </c>
      <c r="AO6" s="87" t="e">
        <f t="shared" si="7"/>
        <v>#DIV/0!</v>
      </c>
      <c r="AP6" s="87">
        <f>SUM(AN4:AN6)/($M$4+SUM(AH4:AH6,AJ4:AJ6,AL4:AL6))</f>
        <v>0.0330254777070064</v>
      </c>
      <c r="AQ6" s="110">
        <f t="shared" si="8"/>
        <v>0</v>
      </c>
      <c r="AR6" s="111" t="e">
        <f t="shared" si="9"/>
        <v>#DIV/0!</v>
      </c>
      <c r="AS6" s="111">
        <f>SUM(AQ4:AQ6)/(B4+M4+W4+AG4+SUM(C4:E6)+SUM(N4:N6,P4:P6,R4:R6)+SUM(X4:X6,Z4:Z6,AB4:AB6)+SUM(AH4:AH6,AJ4:AJ6,AL4:AL6))</f>
        <v>0.00977836316695232</v>
      </c>
    </row>
    <row r="7" s="68" customFormat="1" ht="21.95" customHeight="1" spans="1:45">
      <c r="A7" s="8" t="s">
        <v>39</v>
      </c>
      <c r="B7" s="8"/>
      <c r="C7" s="8"/>
      <c r="D7" s="8"/>
      <c r="E7" s="8"/>
      <c r="F7" s="8"/>
      <c r="G7" s="8"/>
      <c r="H7" s="8"/>
      <c r="I7" s="8"/>
      <c r="J7" s="85">
        <f t="shared" si="0"/>
        <v>0</v>
      </c>
      <c r="K7" s="86">
        <f>SUM($J$4:J7)/(($B$4)+SUM(C4:E7))</f>
        <v>0.0100491942252279</v>
      </c>
      <c r="L7" s="86" t="e">
        <f t="shared" si="1"/>
        <v>#DIV/0!</v>
      </c>
      <c r="M7" s="85"/>
      <c r="N7" s="85"/>
      <c r="O7" s="8"/>
      <c r="P7" s="8"/>
      <c r="Q7" s="8"/>
      <c r="R7" s="8"/>
      <c r="S7" s="8"/>
      <c r="T7" s="8">
        <f t="shared" si="2"/>
        <v>0</v>
      </c>
      <c r="U7" s="87" t="e">
        <f t="shared" si="3"/>
        <v>#DIV/0!</v>
      </c>
      <c r="V7" s="87">
        <f>SUM(T4:T7)/($M$4+SUM(N4:N7,P4:P7,R4:R7))</f>
        <v>0.00464456591874749</v>
      </c>
      <c r="W7" s="85"/>
      <c r="X7" s="85"/>
      <c r="Y7" s="8"/>
      <c r="Z7" s="8"/>
      <c r="AA7" s="8"/>
      <c r="AB7" s="8"/>
      <c r="AC7" s="8"/>
      <c r="AD7" s="8">
        <f t="shared" si="4"/>
        <v>0</v>
      </c>
      <c r="AE7" s="87" t="e">
        <f t="shared" si="5"/>
        <v>#DIV/0!</v>
      </c>
      <c r="AF7" s="87">
        <f>SUM(AD4:AD7)/($M$4+SUM(X4:X7,Z4:Z7,AB4:AB7))</f>
        <v>0.00627388535031847</v>
      </c>
      <c r="AG7" s="85"/>
      <c r="AH7" s="85"/>
      <c r="AI7" s="8"/>
      <c r="AJ7" s="8"/>
      <c r="AK7" s="8"/>
      <c r="AL7" s="8"/>
      <c r="AM7" s="8"/>
      <c r="AN7" s="8">
        <f t="shared" si="6"/>
        <v>0</v>
      </c>
      <c r="AO7" s="87" t="e">
        <f t="shared" si="7"/>
        <v>#DIV/0!</v>
      </c>
      <c r="AP7" s="87">
        <f>SUM(AN4:AN7)/($M$4+SUM(AH4:AH7,AJ4:AJ7,AL4:AL7))</f>
        <v>0.0330254777070064</v>
      </c>
      <c r="AQ7" s="110">
        <f t="shared" si="8"/>
        <v>0</v>
      </c>
      <c r="AR7" s="111" t="e">
        <f t="shared" si="9"/>
        <v>#DIV/0!</v>
      </c>
      <c r="AS7" s="111">
        <f>SUM(AQ4:AQ7)/(B4+M4+W4+AG4+SUM(C4:E7)+SUM(N4:N7,P4:P7,R4:R7)+SUM(X4:X7,Z4:Z7,AB4:AB7)+SUM(AH4:AH7,AJ4:AJ7,AL4:AL7))</f>
        <v>0.00977836316695232</v>
      </c>
    </row>
    <row r="8" s="68" customFormat="1" ht="21.95" customHeight="1" spans="1:45">
      <c r="A8" s="8" t="s">
        <v>40</v>
      </c>
      <c r="B8" s="8"/>
      <c r="C8" s="8"/>
      <c r="D8" s="8"/>
      <c r="E8" s="8"/>
      <c r="F8" s="8"/>
      <c r="G8" s="8"/>
      <c r="H8" s="8"/>
      <c r="I8" s="8"/>
      <c r="J8" s="85">
        <f t="shared" si="0"/>
        <v>0</v>
      </c>
      <c r="K8" s="86">
        <f>SUM($J$4:J8)/(($B$4)+SUM(C4:E8))</f>
        <v>0.0100491942252279</v>
      </c>
      <c r="L8" s="86" t="e">
        <f t="shared" si="1"/>
        <v>#DIV/0!</v>
      </c>
      <c r="M8" s="85"/>
      <c r="N8" s="85"/>
      <c r="O8" s="8"/>
      <c r="P8" s="8"/>
      <c r="Q8" s="8"/>
      <c r="R8" s="8"/>
      <c r="S8" s="8"/>
      <c r="T8" s="8">
        <f t="shared" si="2"/>
        <v>0</v>
      </c>
      <c r="U8" s="87" t="e">
        <f t="shared" si="3"/>
        <v>#DIV/0!</v>
      </c>
      <c r="V8" s="87">
        <f>SUM(T4:T8)/($M$4+SUM(N4:N8,P4:P8,R4:R8))</f>
        <v>0.00464456591874749</v>
      </c>
      <c r="W8" s="85"/>
      <c r="X8" s="85"/>
      <c r="Y8" s="8"/>
      <c r="Z8" s="8"/>
      <c r="AA8" s="8"/>
      <c r="AB8" s="8"/>
      <c r="AC8" s="8"/>
      <c r="AD8" s="8">
        <f t="shared" si="4"/>
        <v>0</v>
      </c>
      <c r="AE8" s="87" t="e">
        <f t="shared" si="5"/>
        <v>#DIV/0!</v>
      </c>
      <c r="AF8" s="87">
        <f>SUM(AD4:AD8)/($M$4+SUM(X4:X8,Z4:Z8,AB4:AB8))</f>
        <v>0.00627388535031847</v>
      </c>
      <c r="AG8" s="85"/>
      <c r="AH8" s="85"/>
      <c r="AI8" s="8"/>
      <c r="AJ8" s="8"/>
      <c r="AK8" s="8"/>
      <c r="AL8" s="8"/>
      <c r="AM8" s="8"/>
      <c r="AN8" s="8">
        <f t="shared" si="6"/>
        <v>0</v>
      </c>
      <c r="AO8" s="87" t="e">
        <f t="shared" si="7"/>
        <v>#DIV/0!</v>
      </c>
      <c r="AP8" s="87">
        <f>SUM(AN4:AN8)/($M$4+SUM(AH4:AH8,AJ4:AJ8,AL4:AL8))</f>
        <v>0.0330254777070064</v>
      </c>
      <c r="AQ8" s="110">
        <f t="shared" si="8"/>
        <v>0</v>
      </c>
      <c r="AR8" s="111" t="e">
        <f t="shared" si="9"/>
        <v>#DIV/0!</v>
      </c>
      <c r="AS8" s="111">
        <f>SUM(AQ4:AQ8)/(B4+M4+W4+AG4+SUM(C4:E8)+SUM(N4:N8,P4:P8,R4:R8)+SUM(X4:X8,Z4:Z8,AB4:AB8)+SUM(AH4:AH8,AJ4:AJ8,AL4:AL8))</f>
        <v>0.00977836316695232</v>
      </c>
    </row>
    <row r="9" s="68" customFormat="1" ht="21.95" customHeight="1" spans="1:45">
      <c r="A9" s="8" t="s">
        <v>158</v>
      </c>
      <c r="B9" s="8"/>
      <c r="C9" s="8"/>
      <c r="D9" s="8"/>
      <c r="E9" s="8"/>
      <c r="F9" s="8"/>
      <c r="G9" s="8"/>
      <c r="H9" s="8"/>
      <c r="I9" s="8"/>
      <c r="J9" s="85">
        <f t="shared" si="0"/>
        <v>0</v>
      </c>
      <c r="K9" s="86">
        <f>SUM($J$4:J9)/(($B$4)+SUM(C4:E9))</f>
        <v>0.0100491942252279</v>
      </c>
      <c r="L9" s="86" t="e">
        <f t="shared" si="1"/>
        <v>#DIV/0!</v>
      </c>
      <c r="M9" s="85"/>
      <c r="N9" s="85"/>
      <c r="O9" s="8"/>
      <c r="P9" s="8"/>
      <c r="Q9" s="8"/>
      <c r="R9" s="8"/>
      <c r="S9" s="8"/>
      <c r="T9" s="8">
        <f t="shared" si="2"/>
        <v>0</v>
      </c>
      <c r="U9" s="87" t="e">
        <f t="shared" si="3"/>
        <v>#DIV/0!</v>
      </c>
      <c r="V9" s="87">
        <f>SUM(T4:T9)/($M$4+SUM(N4:N9,P4:P9,R4:R9))</f>
        <v>0.00464456591874749</v>
      </c>
      <c r="W9" s="85"/>
      <c r="X9" s="85"/>
      <c r="Y9" s="8"/>
      <c r="Z9" s="8"/>
      <c r="AA9" s="8"/>
      <c r="AB9" s="8"/>
      <c r="AC9" s="8"/>
      <c r="AD9" s="8">
        <f t="shared" si="4"/>
        <v>0</v>
      </c>
      <c r="AE9" s="87" t="e">
        <f t="shared" si="5"/>
        <v>#DIV/0!</v>
      </c>
      <c r="AF9" s="87" t="e">
        <f>SUM(AD4:AD9)/($W$9+SUM(X4:X9,Z4:Z9,AB4:AB9))</f>
        <v>#DIV/0!</v>
      </c>
      <c r="AG9" s="85"/>
      <c r="AH9" s="85"/>
      <c r="AI9" s="8"/>
      <c r="AJ9" s="8"/>
      <c r="AK9" s="8"/>
      <c r="AL9" s="8"/>
      <c r="AM9" s="8"/>
      <c r="AN9" s="8">
        <f t="shared" si="6"/>
        <v>0</v>
      </c>
      <c r="AO9" s="87" t="e">
        <f t="shared" si="7"/>
        <v>#DIV/0!</v>
      </c>
      <c r="AP9" s="87" t="e">
        <f>SUM(AN4:AN9)/($AG$9+SUM(AH4:AH9,AJ4:AJ9,AL4:AL9))</f>
        <v>#DIV/0!</v>
      </c>
      <c r="AQ9" s="110">
        <f t="shared" si="8"/>
        <v>0</v>
      </c>
      <c r="AR9" s="111" t="e">
        <f t="shared" si="9"/>
        <v>#DIV/0!</v>
      </c>
      <c r="AS9" s="111">
        <f>SUM(AQ4:AQ9)/(B4+M4+W9+AG9+SUM(C4:E9)+SUM(N4:N9,P4:P9,R4:R9)+SUM(X4:X9,Z4:Z9,AB4:AB9)+SUM(AH4:AH9,AJ4:AJ9,AL4:AL9))</f>
        <v>0.0125837143032124</v>
      </c>
    </row>
    <row r="10" s="68" customFormat="1" ht="21.95" customHeight="1" spans="1:45">
      <c r="A10" s="8" t="s">
        <v>159</v>
      </c>
      <c r="B10" s="8"/>
      <c r="C10" s="8"/>
      <c r="D10" s="8"/>
      <c r="E10" s="8"/>
      <c r="F10" s="8"/>
      <c r="G10" s="8"/>
      <c r="H10" s="8"/>
      <c r="I10" s="8"/>
      <c r="J10" s="85">
        <f t="shared" si="0"/>
        <v>0</v>
      </c>
      <c r="K10" s="86">
        <f>SUM($J$4:J10)/(($B$4)+SUM(C5:E10))</f>
        <v>0.0128430972573834</v>
      </c>
      <c r="L10" s="86" t="e">
        <f t="shared" si="1"/>
        <v>#DIV/0!</v>
      </c>
      <c r="M10" s="85"/>
      <c r="N10" s="85"/>
      <c r="O10" s="8"/>
      <c r="P10" s="8"/>
      <c r="Q10" s="8"/>
      <c r="R10" s="8"/>
      <c r="S10" s="8"/>
      <c r="T10" s="8">
        <f t="shared" si="2"/>
        <v>0</v>
      </c>
      <c r="U10" s="87" t="e">
        <f t="shared" si="3"/>
        <v>#DIV/0!</v>
      </c>
      <c r="V10" s="87">
        <f>SUM(T4:T10)/($M$4+SUM(N4:N10,P4:P10,R4:R10))</f>
        <v>0.00464456591874749</v>
      </c>
      <c r="W10" s="85"/>
      <c r="X10" s="85"/>
      <c r="Y10" s="8"/>
      <c r="Z10" s="8"/>
      <c r="AA10" s="8"/>
      <c r="AB10" s="8"/>
      <c r="AC10" s="8"/>
      <c r="AD10" s="8">
        <f t="shared" si="4"/>
        <v>0</v>
      </c>
      <c r="AE10" s="87" t="e">
        <f t="shared" si="5"/>
        <v>#DIV/0!</v>
      </c>
      <c r="AF10" s="87" t="e">
        <f>SUM(AD4:AD10)/($W$9+SUM(X4:X10,Z4:Z10,AB4:AB10))</f>
        <v>#DIV/0!</v>
      </c>
      <c r="AG10" s="85"/>
      <c r="AH10" s="85"/>
      <c r="AI10" s="8"/>
      <c r="AJ10" s="8"/>
      <c r="AK10" s="8"/>
      <c r="AL10" s="8"/>
      <c r="AM10" s="8"/>
      <c r="AN10" s="8">
        <f t="shared" si="6"/>
        <v>0</v>
      </c>
      <c r="AO10" s="87" t="e">
        <f t="shared" si="7"/>
        <v>#DIV/0!</v>
      </c>
      <c r="AP10" s="87" t="e">
        <f>SUM(AN4:AN10)/($AG$9+SUM(AH4:AH10,AJ4:AJ10,AL4:AL10))</f>
        <v>#DIV/0!</v>
      </c>
      <c r="AQ10" s="110">
        <f t="shared" si="8"/>
        <v>0</v>
      </c>
      <c r="AR10" s="111" t="e">
        <f t="shared" si="9"/>
        <v>#DIV/0!</v>
      </c>
      <c r="AS10" s="111">
        <f>SUM(AQ4:AQ10)/(B4+M4+W9+AG9+SUM(C4:E10)+SUM(N4:N10,P4:P10,R4:R10)+SUM(X4:X10,Z4:Z10,AB4:AB10)+SUM(AH4:AH10,AJ4:AJ10,AL4:AL10))</f>
        <v>0.0125837143032124</v>
      </c>
    </row>
    <row r="11" s="68" customFormat="1" ht="21.95" customHeight="1" spans="1:45">
      <c r="A11" s="8" t="s">
        <v>160</v>
      </c>
      <c r="B11" s="8"/>
      <c r="C11" s="8"/>
      <c r="D11" s="8"/>
      <c r="E11" s="8"/>
      <c r="F11" s="8"/>
      <c r="G11" s="8"/>
      <c r="H11" s="8"/>
      <c r="I11" s="8"/>
      <c r="J11" s="85">
        <f t="shared" si="0"/>
        <v>0</v>
      </c>
      <c r="K11" s="86">
        <f>SUM($J$4:J11)/(($B$4)+SUM(C4:E11))</f>
        <v>0.0100491942252279</v>
      </c>
      <c r="L11" s="86" t="e">
        <f t="shared" si="1"/>
        <v>#DIV/0!</v>
      </c>
      <c r="M11" s="85"/>
      <c r="N11" s="85"/>
      <c r="O11" s="8"/>
      <c r="P11" s="8"/>
      <c r="Q11" s="8"/>
      <c r="R11" s="8"/>
      <c r="S11" s="8"/>
      <c r="T11" s="8">
        <f t="shared" si="2"/>
        <v>0</v>
      </c>
      <c r="U11" s="87" t="e">
        <f t="shared" si="3"/>
        <v>#DIV/0!</v>
      </c>
      <c r="V11" s="87">
        <f>SUM(T4:T11)/($M$4+SUM(N4:N11,P4:P11,R4:R11))</f>
        <v>0.00464456591874749</v>
      </c>
      <c r="W11" s="85"/>
      <c r="X11" s="85"/>
      <c r="Y11" s="8"/>
      <c r="Z11" s="8"/>
      <c r="AA11" s="8"/>
      <c r="AB11" s="8"/>
      <c r="AC11" s="8"/>
      <c r="AD11" s="8">
        <f t="shared" si="4"/>
        <v>0</v>
      </c>
      <c r="AE11" s="87" t="e">
        <f t="shared" si="5"/>
        <v>#DIV/0!</v>
      </c>
      <c r="AF11" s="87" t="e">
        <f>SUM(AD4:AD11)/($W$9+SUM(X4:X11,Z4:Z11,AB4:AB11))</f>
        <v>#DIV/0!</v>
      </c>
      <c r="AG11" s="85"/>
      <c r="AH11" s="85"/>
      <c r="AI11" s="8"/>
      <c r="AJ11" s="8"/>
      <c r="AK11" s="8"/>
      <c r="AL11" s="8"/>
      <c r="AM11" s="8"/>
      <c r="AN11" s="8">
        <f t="shared" si="6"/>
        <v>0</v>
      </c>
      <c r="AO11" s="87" t="e">
        <f t="shared" si="7"/>
        <v>#DIV/0!</v>
      </c>
      <c r="AP11" s="87" t="e">
        <f>SUM(AN4:AN11)/($AG$9+SUM(AH4:AH11,AJ4:AJ11,AL4:AL11))</f>
        <v>#DIV/0!</v>
      </c>
      <c r="AQ11" s="110">
        <f t="shared" si="8"/>
        <v>0</v>
      </c>
      <c r="AR11" s="111" t="e">
        <f t="shared" si="9"/>
        <v>#DIV/0!</v>
      </c>
      <c r="AS11" s="111">
        <f>SUM(AQ4:AQ11)/(B4+M4+W9+AG9+SUM(C4:E11)+SUM(N4:N11,P4:P11,R4:R11)+SUM(X4:X11,Z4:Z11,AB4:AB11)+SUM(AH4:AH11,AJ4:AJ11,AL4:AL11))</f>
        <v>0.0125837143032124</v>
      </c>
    </row>
    <row r="12" s="68" customFormat="1" ht="21.95" customHeight="1" spans="1:45">
      <c r="A12" s="8" t="s">
        <v>161</v>
      </c>
      <c r="B12" s="8"/>
      <c r="C12" s="8"/>
      <c r="D12" s="8"/>
      <c r="E12" s="8"/>
      <c r="F12" s="8"/>
      <c r="G12" s="8"/>
      <c r="H12" s="8"/>
      <c r="I12" s="8"/>
      <c r="J12" s="85">
        <f t="shared" si="0"/>
        <v>0</v>
      </c>
      <c r="K12" s="86">
        <f>SUM($J$4:J12)/(($B$4)+SUM(C4:E12))</f>
        <v>0.0100491942252279</v>
      </c>
      <c r="L12" s="86" t="e">
        <f t="shared" si="1"/>
        <v>#DIV/0!</v>
      </c>
      <c r="M12" s="85"/>
      <c r="N12" s="85"/>
      <c r="O12" s="8"/>
      <c r="P12" s="8"/>
      <c r="Q12" s="8"/>
      <c r="R12" s="8"/>
      <c r="S12" s="8"/>
      <c r="T12" s="8">
        <f t="shared" si="2"/>
        <v>0</v>
      </c>
      <c r="U12" s="87" t="e">
        <f t="shared" si="3"/>
        <v>#DIV/0!</v>
      </c>
      <c r="V12" s="87">
        <f>SUM(T4:T12)/($M$4+SUM(N4:N12,P4:P12,R4:R12))</f>
        <v>0.00464456591874749</v>
      </c>
      <c r="W12" s="85"/>
      <c r="X12" s="85"/>
      <c r="Y12" s="8"/>
      <c r="Z12" s="8"/>
      <c r="AA12" s="8"/>
      <c r="AB12" s="8"/>
      <c r="AC12" s="8"/>
      <c r="AD12" s="8">
        <f t="shared" si="4"/>
        <v>0</v>
      </c>
      <c r="AE12" s="87" t="e">
        <f t="shared" si="5"/>
        <v>#DIV/0!</v>
      </c>
      <c r="AF12" s="87" t="e">
        <f>SUM(AD4:AD12)/($W$9+SUM(X4:X12,Z4:Z12,AB4:AB12))</f>
        <v>#DIV/0!</v>
      </c>
      <c r="AG12" s="85"/>
      <c r="AH12" s="85"/>
      <c r="AI12" s="8"/>
      <c r="AJ12" s="8"/>
      <c r="AK12" s="8"/>
      <c r="AL12" s="8"/>
      <c r="AM12" s="8"/>
      <c r="AN12" s="8">
        <f t="shared" si="6"/>
        <v>0</v>
      </c>
      <c r="AO12" s="87" t="e">
        <f t="shared" si="7"/>
        <v>#DIV/0!</v>
      </c>
      <c r="AP12" s="87" t="e">
        <f>SUM(AN4:AN12)/($AG$9+SUM(AH4:AH12,AJ4:AJ12,AL4:AL12))</f>
        <v>#DIV/0!</v>
      </c>
      <c r="AQ12" s="110">
        <f t="shared" si="8"/>
        <v>0</v>
      </c>
      <c r="AR12" s="111" t="e">
        <f t="shared" si="9"/>
        <v>#DIV/0!</v>
      </c>
      <c r="AS12" s="111">
        <f>SUM(AQ4:AQ12)/(B4+M4+W9+AG9+SUM(C4:E12)+SUM(N4:N12,P4:P12,R4:R12)+SUM(X4:X12,Z4:Z12,AB4:AB12)+SUM(AH4:AH12,AJ4:AJ12,AL4:AL12))</f>
        <v>0.0125837143032124</v>
      </c>
    </row>
    <row r="13" s="68" customFormat="1" ht="21.95" customHeight="1" spans="1:45">
      <c r="A13" s="8" t="s">
        <v>162</v>
      </c>
      <c r="B13" s="8"/>
      <c r="C13" s="8"/>
      <c r="D13" s="8"/>
      <c r="E13" s="8"/>
      <c r="F13" s="8"/>
      <c r="G13" s="8"/>
      <c r="H13" s="8"/>
      <c r="I13" s="8"/>
      <c r="J13" s="85">
        <f t="shared" si="0"/>
        <v>0</v>
      </c>
      <c r="K13" s="86">
        <f>SUM($J$4:J13)/(($B$4)+SUM(C4:E13))</f>
        <v>0.0100491942252279</v>
      </c>
      <c r="L13" s="86" t="e">
        <f t="shared" si="1"/>
        <v>#DIV/0!</v>
      </c>
      <c r="M13" s="85"/>
      <c r="N13" s="85"/>
      <c r="O13" s="8"/>
      <c r="P13" s="8"/>
      <c r="Q13" s="8"/>
      <c r="R13" s="8"/>
      <c r="S13" s="8"/>
      <c r="T13" s="8">
        <f t="shared" si="2"/>
        <v>0</v>
      </c>
      <c r="U13" s="87" t="e">
        <f t="shared" si="3"/>
        <v>#DIV/0!</v>
      </c>
      <c r="V13" s="87">
        <f>SUM(T4:T13)/($M$4+SUM(N4:N13,P4:P13,R4:R13))</f>
        <v>0.00464456591874749</v>
      </c>
      <c r="W13" s="85"/>
      <c r="X13" s="85"/>
      <c r="Y13" s="8"/>
      <c r="Z13" s="8"/>
      <c r="AA13" s="8"/>
      <c r="AB13" s="8"/>
      <c r="AC13" s="8"/>
      <c r="AD13" s="8">
        <f t="shared" si="4"/>
        <v>0</v>
      </c>
      <c r="AE13" s="87" t="e">
        <f t="shared" si="5"/>
        <v>#DIV/0!</v>
      </c>
      <c r="AF13" s="87" t="e">
        <f>SUM(AD4:AD13)/($W$9+SUM(X4:X13,Z4:Z13,AB4:AB13))</f>
        <v>#DIV/0!</v>
      </c>
      <c r="AG13" s="85"/>
      <c r="AH13" s="85"/>
      <c r="AI13" s="8"/>
      <c r="AJ13" s="8"/>
      <c r="AK13" s="8"/>
      <c r="AL13" s="8"/>
      <c r="AM13" s="8"/>
      <c r="AN13" s="8">
        <f t="shared" si="6"/>
        <v>0</v>
      </c>
      <c r="AO13" s="87" t="e">
        <f t="shared" si="7"/>
        <v>#DIV/0!</v>
      </c>
      <c r="AP13" s="87" t="e">
        <f>SUM(AN4:AN13)/($AG$9+SUM(AH4:AH13,AJ4:AJ13,AL4:AL13))</f>
        <v>#DIV/0!</v>
      </c>
      <c r="AQ13" s="110">
        <f t="shared" si="8"/>
        <v>0</v>
      </c>
      <c r="AR13" s="111" t="e">
        <f t="shared" si="9"/>
        <v>#DIV/0!</v>
      </c>
      <c r="AS13" s="111">
        <f>SUM(AQ4:AQ13)/(B4+M4+W9+AG9+SUM(C4:E13)+SUM(N4:N13,P4:P13,R4:R13)+SUM(X4:X13,Z4:Z13,AB4:AB13)+SUM(AH4:AH13,AJ4:AJ13,AL4:AL13))</f>
        <v>0.0125837143032124</v>
      </c>
    </row>
    <row r="14" s="68" customFormat="1" ht="21.95" customHeight="1" spans="1:45">
      <c r="A14" s="8" t="s">
        <v>163</v>
      </c>
      <c r="B14" s="8"/>
      <c r="C14" s="8"/>
      <c r="D14" s="8"/>
      <c r="E14" s="8"/>
      <c r="F14" s="8"/>
      <c r="G14" s="8"/>
      <c r="H14" s="8"/>
      <c r="I14" s="8"/>
      <c r="J14" s="85">
        <f t="shared" si="0"/>
        <v>0</v>
      </c>
      <c r="K14" s="86">
        <f>SUM($J$4:J14)/(($B$4)+SUM(C4:E14))</f>
        <v>0.0100491942252279</v>
      </c>
      <c r="L14" s="86" t="e">
        <f t="shared" si="1"/>
        <v>#DIV/0!</v>
      </c>
      <c r="M14" s="85"/>
      <c r="N14" s="85"/>
      <c r="O14" s="8"/>
      <c r="P14" s="8"/>
      <c r="Q14" s="8"/>
      <c r="R14" s="8"/>
      <c r="S14" s="8"/>
      <c r="T14" s="8">
        <f t="shared" si="2"/>
        <v>0</v>
      </c>
      <c r="U14" s="87" t="e">
        <f t="shared" si="3"/>
        <v>#DIV/0!</v>
      </c>
      <c r="V14" s="87">
        <f>SUM(T4:T14)/($M$4+SUM(N4:N14,P4:P14,R4:R14))</f>
        <v>0.00464456591874749</v>
      </c>
      <c r="W14" s="85"/>
      <c r="X14" s="85"/>
      <c r="Y14" s="8"/>
      <c r="Z14" s="8"/>
      <c r="AA14" s="8"/>
      <c r="AB14" s="8"/>
      <c r="AC14" s="8"/>
      <c r="AD14" s="8">
        <f t="shared" si="4"/>
        <v>0</v>
      </c>
      <c r="AE14" s="87" t="e">
        <f t="shared" si="5"/>
        <v>#DIV/0!</v>
      </c>
      <c r="AF14" s="87" t="e">
        <f>SUM(AD4:AD14)/($W$9+SUM(X4:X14,Z4:Z14,AB4:AB14))</f>
        <v>#DIV/0!</v>
      </c>
      <c r="AG14" s="85"/>
      <c r="AH14" s="85"/>
      <c r="AI14" s="8"/>
      <c r="AJ14" s="8"/>
      <c r="AK14" s="8"/>
      <c r="AL14" s="8"/>
      <c r="AM14" s="8"/>
      <c r="AN14" s="8">
        <f t="shared" si="6"/>
        <v>0</v>
      </c>
      <c r="AO14" s="87" t="e">
        <f t="shared" si="7"/>
        <v>#DIV/0!</v>
      </c>
      <c r="AP14" s="87" t="e">
        <f>SUM(AN4:AN14)/($AG$9+SUM(AH4:AH14,AJ4:AJ14,AL4:AL14))</f>
        <v>#DIV/0!</v>
      </c>
      <c r="AQ14" s="110">
        <f t="shared" si="8"/>
        <v>0</v>
      </c>
      <c r="AR14" s="111" t="e">
        <f t="shared" si="9"/>
        <v>#DIV/0!</v>
      </c>
      <c r="AS14" s="111">
        <f>SUM(AQ4:AQ14)/(B4+M4+W9+AG9+SUM(C4:E14)+SUM(N4:N14,P4:P14,R4:R14)+SUM(X4:X14,Z4:Z14,AB4:AB14)+SUM(AH4:AH14,AJ4:AJ14,AL4:AL14))</f>
        <v>0.0125837143032124</v>
      </c>
    </row>
    <row r="15" s="68" customFormat="1" ht="21.95" customHeight="1" spans="1:45">
      <c r="A15" s="8" t="s">
        <v>164</v>
      </c>
      <c r="B15" s="8"/>
      <c r="C15" s="8"/>
      <c r="D15" s="8"/>
      <c r="E15" s="8"/>
      <c r="F15" s="8"/>
      <c r="G15" s="8"/>
      <c r="H15" s="8"/>
      <c r="I15" s="8"/>
      <c r="J15" s="85">
        <f t="shared" si="0"/>
        <v>0</v>
      </c>
      <c r="K15" s="86">
        <f>SUM($J$4:J15)/(($B$4)+SUM(C4:E15))</f>
        <v>0.0100491942252279</v>
      </c>
      <c r="L15" s="86" t="e">
        <f t="shared" si="1"/>
        <v>#DIV/0!</v>
      </c>
      <c r="M15" s="85"/>
      <c r="N15" s="85"/>
      <c r="O15" s="8"/>
      <c r="P15" s="8"/>
      <c r="Q15" s="8"/>
      <c r="R15" s="8"/>
      <c r="S15" s="8"/>
      <c r="T15" s="8">
        <f t="shared" si="2"/>
        <v>0</v>
      </c>
      <c r="U15" s="87" t="e">
        <f t="shared" si="3"/>
        <v>#DIV/0!</v>
      </c>
      <c r="V15" s="87">
        <f>SUM(T4:T15)/($M$4+SUM(N4:N15,P4:P15,R4:R15))</f>
        <v>0.00464456591874749</v>
      </c>
      <c r="W15" s="85"/>
      <c r="X15" s="85"/>
      <c r="Y15" s="8"/>
      <c r="Z15" s="8"/>
      <c r="AA15" s="8"/>
      <c r="AB15" s="8"/>
      <c r="AC15" s="8"/>
      <c r="AD15" s="8">
        <f t="shared" si="4"/>
        <v>0</v>
      </c>
      <c r="AE15" s="87" t="e">
        <f t="shared" si="5"/>
        <v>#DIV/0!</v>
      </c>
      <c r="AF15" s="87" t="e">
        <f>SUM(AD4:AD15)/($W$9+SUM(X4:X15,Z4:Z15,AB4:AB15))</f>
        <v>#DIV/0!</v>
      </c>
      <c r="AG15" s="85"/>
      <c r="AH15" s="85"/>
      <c r="AI15" s="8"/>
      <c r="AJ15" s="8"/>
      <c r="AK15" s="8"/>
      <c r="AL15" s="8"/>
      <c r="AM15" s="8"/>
      <c r="AN15" s="8">
        <f t="shared" si="6"/>
        <v>0</v>
      </c>
      <c r="AO15" s="87" t="e">
        <f t="shared" si="7"/>
        <v>#DIV/0!</v>
      </c>
      <c r="AP15" s="87" t="e">
        <f>SUM(AN4:AN15)/($AG$9+SUM(AH4:AH15,AJ4:AJ15,AL4:AL15))</f>
        <v>#DIV/0!</v>
      </c>
      <c r="AQ15" s="110">
        <f t="shared" si="8"/>
        <v>0</v>
      </c>
      <c r="AR15" s="111" t="e">
        <f t="shared" si="9"/>
        <v>#DIV/0!</v>
      </c>
      <c r="AS15" s="111">
        <f>SUM(AQ4:AQ15)/(B4+M4+W9+AG9+SUM(C4:E15)+SUM(N4:N15,P4:P15,R4:R15)+SUM(X4:X15,Z4:Z15,AB4:AB15)+SUM(AH4:AH15,AJ4:AJ15,AL4:AL15))</f>
        <v>0.0125837143032124</v>
      </c>
    </row>
    <row r="16" s="68" customFormat="1" ht="27" customHeight="1" spans="1:45">
      <c r="A16" s="17" t="s">
        <v>82</v>
      </c>
      <c r="B16" s="17">
        <f t="shared" ref="B16:J16" si="10">SUM(B4:B15)</f>
        <v>771132</v>
      </c>
      <c r="C16" s="17">
        <f t="shared" si="10"/>
        <v>75847</v>
      </c>
      <c r="D16" s="17">
        <f t="shared" si="10"/>
        <v>350348</v>
      </c>
      <c r="E16" s="17">
        <f t="shared" si="10"/>
        <v>56734</v>
      </c>
      <c r="F16" s="17">
        <f t="shared" si="10"/>
        <v>0</v>
      </c>
      <c r="G16" s="17">
        <f t="shared" si="10"/>
        <v>0</v>
      </c>
      <c r="H16" s="17">
        <f t="shared" si="10"/>
        <v>9507</v>
      </c>
      <c r="I16" s="17">
        <f t="shared" si="10"/>
        <v>0</v>
      </c>
      <c r="J16" s="17">
        <f t="shared" si="10"/>
        <v>9507</v>
      </c>
      <c r="K16" s="88">
        <f>J16/(B4+C16+D16+E16)</f>
        <v>0.0100491942252279</v>
      </c>
      <c r="L16" s="88"/>
      <c r="M16" s="17">
        <f t="shared" ref="M16:T16" si="11">SUM(M4:M15)</f>
        <v>222868</v>
      </c>
      <c r="N16" s="17">
        <f t="shared" si="11"/>
        <v>0</v>
      </c>
      <c r="O16" s="17">
        <f t="shared" si="11"/>
        <v>0</v>
      </c>
      <c r="P16" s="17">
        <f t="shared" si="11"/>
        <v>70078</v>
      </c>
      <c r="Q16" s="17">
        <f t="shared" si="11"/>
        <v>0</v>
      </c>
      <c r="R16" s="17">
        <f t="shared" si="11"/>
        <v>0</v>
      </c>
      <c r="S16" s="17">
        <f t="shared" si="11"/>
        <v>763</v>
      </c>
      <c r="T16" s="17">
        <f t="shared" si="11"/>
        <v>763</v>
      </c>
      <c r="U16" s="89">
        <f>T16/(M4+N16+P16+R16)</f>
        <v>0.00464456591874749</v>
      </c>
      <c r="V16" s="89"/>
      <c r="W16" s="17">
        <f t="shared" ref="W16:AD16" si="12">SUM(W4:W15)</f>
        <v>351272</v>
      </c>
      <c r="X16" s="17">
        <f t="shared" si="12"/>
        <v>0</v>
      </c>
      <c r="Y16" s="17">
        <f t="shared" si="12"/>
        <v>0</v>
      </c>
      <c r="Z16" s="17">
        <f t="shared" si="12"/>
        <v>0</v>
      </c>
      <c r="AA16" s="17">
        <f t="shared" si="12"/>
        <v>0</v>
      </c>
      <c r="AB16" s="17">
        <f t="shared" si="12"/>
        <v>0</v>
      </c>
      <c r="AC16" s="17">
        <f t="shared" si="12"/>
        <v>591</v>
      </c>
      <c r="AD16" s="17">
        <f t="shared" si="12"/>
        <v>591</v>
      </c>
      <c r="AE16" s="89">
        <f>AD16/(W4+X16+Z16+AB16)</f>
        <v>0.00336296077114796</v>
      </c>
      <c r="AF16" s="89"/>
      <c r="AG16" s="17">
        <f t="shared" ref="AG16:AN16" si="13">SUM(AG4:AG15)</f>
        <v>283692</v>
      </c>
      <c r="AH16" s="17">
        <f t="shared" si="13"/>
        <v>0</v>
      </c>
      <c r="AI16" s="17">
        <f t="shared" si="13"/>
        <v>0</v>
      </c>
      <c r="AJ16" s="17">
        <f t="shared" si="13"/>
        <v>0</v>
      </c>
      <c r="AK16" s="17">
        <f t="shared" si="13"/>
        <v>0</v>
      </c>
      <c r="AL16" s="17">
        <f t="shared" si="13"/>
        <v>0</v>
      </c>
      <c r="AM16" s="17">
        <f t="shared" si="13"/>
        <v>3111</v>
      </c>
      <c r="AN16" s="17">
        <f t="shared" si="13"/>
        <v>3111</v>
      </c>
      <c r="AO16" s="89">
        <f>AN16/(AG4+AH16+AJ16+AL16)</f>
        <v>0.0217846464108902</v>
      </c>
      <c r="AP16" s="89"/>
      <c r="AQ16" s="110">
        <f>SUM(AQ4:AQ15)</f>
        <v>13972</v>
      </c>
      <c r="AR16" s="110"/>
      <c r="AS16" s="110"/>
    </row>
    <row r="17" s="69" customFormat="1" ht="21.95" customHeight="1" spans="2:39">
      <c r="B17" s="90"/>
      <c r="C17" s="91"/>
      <c r="D17" s="91"/>
      <c r="E17" s="91"/>
      <c r="F17" s="91"/>
      <c r="G17" s="91"/>
      <c r="H17" s="91"/>
      <c r="I17" s="91"/>
      <c r="J17" s="91"/>
      <c r="S17" s="92" t="s">
        <v>207</v>
      </c>
      <c r="AC17" s="92" t="s">
        <v>207</v>
      </c>
      <c r="AM17" s="92" t="s">
        <v>207</v>
      </c>
    </row>
    <row r="18" s="69" customFormat="1" ht="21.95" customHeight="1" spans="2:39">
      <c r="G18" s="112"/>
      <c r="H18" s="112"/>
      <c r="AG18" s="69">
        <f>AD9+AN9</f>
        <v>0</v>
      </c>
    </row>
    <row r="19" s="69" customFormat="1" ht="21.95" customHeight="1" spans="2:39">
      <c r="F19" s="91"/>
      <c r="G19" s="112"/>
      <c r="H19" s="113"/>
      <c r="K19" s="114"/>
    </row>
    <row r="20" s="69" customFormat="1" ht="21.95" customHeight="1"/>
    <row r="21" s="69" customFormat="1" ht="21.95" customHeight="1" spans="2:39">
      <c r="E21" s="94"/>
      <c r="F21" s="115"/>
    </row>
    <row r="22" s="69" customFormat="1" ht="21.95" customHeight="1"/>
    <row r="23" s="69" customFormat="1" ht="21.95" customHeight="1"/>
    <row r="24" s="69" customFormat="1" ht="21.95" customHeight="1"/>
    <row r="25" s="69" customFormat="1" ht="21.95" customHeight="1"/>
    <row r="26" s="69" customFormat="1" ht="21.95" customHeight="1"/>
    <row r="27" s="69" customFormat="1" ht="21.95" customHeight="1"/>
    <row r="28" s="69" customFormat="1" ht="21.95" customHeight="1"/>
    <row r="29" s="69" customFormat="1" ht="21.95" customHeight="1"/>
    <row r="30" s="69" customFormat="1" ht="21.95" customHeight="1"/>
    <row r="31" s="69" customFormat="1" ht="21.95" customHeight="1"/>
  </sheetData>
  <mergeCells count="25">
    <mergeCell ref="A1:U1"/>
    <mergeCell ref="G2:J2"/>
    <mergeCell ref="N2:T2"/>
    <mergeCell ref="X2:AD2"/>
    <mergeCell ref="AH2:AN2"/>
    <mergeCell ref="B17:J17"/>
    <mergeCell ref="A2:A3"/>
    <mergeCell ref="B2:B3"/>
    <mergeCell ref="C2:C3"/>
    <mergeCell ref="D2:D3"/>
    <mergeCell ref="E2:E3"/>
    <mergeCell ref="K2:K3"/>
    <mergeCell ref="L2:L3"/>
    <mergeCell ref="M2:M3"/>
    <mergeCell ref="U2:U3"/>
    <mergeCell ref="V2:V3"/>
    <mergeCell ref="W2:W3"/>
    <mergeCell ref="AE2:AE3"/>
    <mergeCell ref="AF2:AF3"/>
    <mergeCell ref="AG2:AG3"/>
    <mergeCell ref="AO2:AO3"/>
    <mergeCell ref="AP2:AP3"/>
    <mergeCell ref="AQ2:AQ3"/>
    <mergeCell ref="AR2:AR3"/>
    <mergeCell ref="AS2:AS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1"/>
  <sheetViews>
    <sheetView workbookViewId="0">
      <selection activeCell="L21" sqref="L21"/>
    </sheetView>
  </sheetViews>
  <sheetFormatPr defaultColWidth="9" defaultRowHeight="13.8"/>
  <cols>
    <col min="1" max="1" width="5" style="65" customWidth="1"/>
    <col min="2" max="2" width="8.875" style="65" customWidth="1"/>
    <col min="3" max="3" width="8.75" style="65" customWidth="1"/>
    <col min="4" max="4" width="8.125" style="65" customWidth="1"/>
    <col min="5" max="5" width="7.75" style="65" customWidth="1"/>
    <col min="6" max="6" width="7.375" style="65" customWidth="1"/>
    <col min="7" max="7" width="6.75" style="70" customWidth="1"/>
    <col min="8" max="8" width="8.25" style="70" customWidth="1"/>
    <col min="9" max="9" width="10.875" style="70" customWidth="1"/>
    <col min="10" max="10" width="8.875" style="70" customWidth="1"/>
    <col min="11" max="11" width="9.25" style="70" customWidth="1"/>
    <col min="12" max="12" width="8" style="70" customWidth="1"/>
    <col min="13" max="13" width="6.875" style="70" customWidth="1"/>
    <col min="14" max="14" width="8.25" style="70" customWidth="1"/>
    <col min="15" max="15" width="6.75" style="70" customWidth="1"/>
    <col min="16" max="16" width="8.125" style="70" customWidth="1"/>
    <col min="17" max="17" width="7" style="70" customWidth="1"/>
    <col min="18" max="18" width="8.25" style="70" customWidth="1"/>
    <col min="19" max="19" width="10.625" style="70" customWidth="1"/>
    <col min="20" max="20" width="10.75" style="70" customWidth="1"/>
    <col min="21" max="16384" width="9" style="65"/>
  </cols>
  <sheetData>
    <row r="1" s="65" customFormat="1" ht="27" customHeight="1" spans="1:20">
      <c r="A1" s="71" t="s">
        <v>209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0"/>
    </row>
    <row r="2" s="66" customFormat="1" ht="27" customHeight="1" spans="1:20">
      <c r="A2" s="72" t="s">
        <v>1</v>
      </c>
      <c r="B2" s="73" t="s">
        <v>172</v>
      </c>
      <c r="C2" s="73" t="s">
        <v>173</v>
      </c>
      <c r="D2" s="73" t="s">
        <v>174</v>
      </c>
      <c r="E2" s="74" t="s">
        <v>175</v>
      </c>
      <c r="F2" s="75" t="s">
        <v>176</v>
      </c>
      <c r="G2" s="76"/>
      <c r="H2" s="77"/>
      <c r="I2" s="78" t="s">
        <v>177</v>
      </c>
      <c r="J2" s="78" t="s">
        <v>178</v>
      </c>
      <c r="K2" s="73" t="s">
        <v>179</v>
      </c>
      <c r="L2" s="79" t="s">
        <v>180</v>
      </c>
      <c r="M2" s="76"/>
      <c r="N2" s="76"/>
      <c r="O2" s="76"/>
      <c r="P2" s="76"/>
      <c r="Q2" s="76"/>
      <c r="R2" s="80"/>
      <c r="S2" s="78" t="s">
        <v>181</v>
      </c>
      <c r="T2" s="78" t="s">
        <v>182</v>
      </c>
    </row>
    <row r="3" s="67" customFormat="1" ht="59" customHeight="1" spans="1:20">
      <c r="A3" s="72"/>
      <c r="B3" s="73"/>
      <c r="C3" s="73"/>
      <c r="D3" s="73"/>
      <c r="E3" s="81"/>
      <c r="F3" s="104" t="s">
        <v>195</v>
      </c>
      <c r="G3" s="73" t="s">
        <v>197</v>
      </c>
      <c r="H3" s="83" t="s">
        <v>198</v>
      </c>
      <c r="I3" s="78"/>
      <c r="J3" s="78"/>
      <c r="K3" s="73"/>
      <c r="L3" s="73" t="s">
        <v>199</v>
      </c>
      <c r="M3" s="97" t="s">
        <v>200</v>
      </c>
      <c r="N3" s="73" t="s">
        <v>201</v>
      </c>
      <c r="O3" s="97" t="s">
        <v>194</v>
      </c>
      <c r="P3" s="73" t="s">
        <v>202</v>
      </c>
      <c r="Q3" s="97" t="s">
        <v>195</v>
      </c>
      <c r="R3" s="97" t="s">
        <v>203</v>
      </c>
      <c r="S3" s="84"/>
      <c r="T3" s="84"/>
    </row>
    <row r="4" s="68" customFormat="1" ht="21.95" customHeight="1" spans="1:20">
      <c r="A4" s="8" t="s">
        <v>36</v>
      </c>
      <c r="B4" s="8">
        <v>431907</v>
      </c>
      <c r="C4" s="8">
        <v>25480</v>
      </c>
      <c r="D4" s="8">
        <v>200105</v>
      </c>
      <c r="E4" s="8">
        <v>30152</v>
      </c>
      <c r="F4" s="8"/>
      <c r="G4" s="85">
        <v>0</v>
      </c>
      <c r="H4" s="85">
        <f t="shared" ref="H4:H15" si="0">F4+G4</f>
        <v>0</v>
      </c>
      <c r="I4" s="86">
        <f>H4/SUM(B4:E4)</f>
        <v>0</v>
      </c>
      <c r="J4" s="86">
        <f t="shared" ref="J4:J15" si="1">H4/SUM(B4:E4)</f>
        <v>0</v>
      </c>
      <c r="K4" s="85">
        <v>270329</v>
      </c>
      <c r="L4" s="85">
        <v>0</v>
      </c>
      <c r="M4" s="8">
        <v>0</v>
      </c>
      <c r="N4" s="8">
        <v>0</v>
      </c>
      <c r="O4" s="8">
        <v>517</v>
      </c>
      <c r="P4" s="8">
        <v>0</v>
      </c>
      <c r="Q4" s="8">
        <v>593</v>
      </c>
      <c r="R4" s="8">
        <f t="shared" ref="R4:R15" si="2">M4+O4+Q4</f>
        <v>1110</v>
      </c>
      <c r="S4" s="87">
        <f t="shared" ref="S4:S15" si="3">R4/(K4+L4+N4+P4)</f>
        <v>0.00410610774278749</v>
      </c>
      <c r="T4" s="87">
        <f>R4/($K$4+SUM(L4,N4,P4))</f>
        <v>0.00410610774278749</v>
      </c>
    </row>
    <row r="5" s="68" customFormat="1" ht="21.95" customHeight="1" spans="1:20">
      <c r="A5" s="8" t="s">
        <v>37</v>
      </c>
      <c r="B5" s="8">
        <v>261417</v>
      </c>
      <c r="C5" s="8">
        <v>20217</v>
      </c>
      <c r="D5" s="8">
        <v>25345</v>
      </c>
      <c r="E5" s="8">
        <v>20461</v>
      </c>
      <c r="F5" s="8">
        <v>7852</v>
      </c>
      <c r="G5" s="8">
        <v>597</v>
      </c>
      <c r="H5" s="85">
        <f t="shared" si="0"/>
        <v>8449</v>
      </c>
      <c r="I5" s="86">
        <f>SUM($H$4:H5)/(($B$4)+SUM(C4:E5))</f>
        <v>0.0112105213575757</v>
      </c>
      <c r="J5" s="86">
        <f t="shared" si="1"/>
        <v>0.025803200586367</v>
      </c>
      <c r="K5" s="85">
        <v>239785</v>
      </c>
      <c r="L5" s="85">
        <v>7850</v>
      </c>
      <c r="M5" s="8">
        <v>6</v>
      </c>
      <c r="N5" s="8">
        <v>14246</v>
      </c>
      <c r="O5" s="8">
        <v>256</v>
      </c>
      <c r="P5" s="8">
        <v>0</v>
      </c>
      <c r="Q5" s="8">
        <v>523</v>
      </c>
      <c r="R5" s="8">
        <f t="shared" si="2"/>
        <v>785</v>
      </c>
      <c r="S5" s="87">
        <f t="shared" si="3"/>
        <v>0.002997544686327</v>
      </c>
      <c r="T5" s="87">
        <f>SUM(R4:R5)/($K$4+SUM(L4:L5,N4:N5,P4:P5))</f>
        <v>0.00648029409250235</v>
      </c>
    </row>
    <row r="6" s="68" customFormat="1" ht="21.95" customHeight="1" spans="1:20">
      <c r="A6" s="8" t="s">
        <v>38</v>
      </c>
      <c r="B6" s="8">
        <v>294675</v>
      </c>
      <c r="C6" s="8">
        <v>171655</v>
      </c>
      <c r="D6" s="8">
        <v>58841</v>
      </c>
      <c r="E6" s="8">
        <v>10449</v>
      </c>
      <c r="F6" s="8">
        <v>2241</v>
      </c>
      <c r="G6" s="8">
        <v>0</v>
      </c>
      <c r="H6" s="85">
        <f t="shared" si="0"/>
        <v>2241</v>
      </c>
      <c r="I6" s="86">
        <f>SUM($H$4:H6)/(($B$4)+SUM(C4:E6))</f>
        <v>0.0107479097376665</v>
      </c>
      <c r="J6" s="86">
        <f t="shared" si="1"/>
        <v>0.00418393637280161</v>
      </c>
      <c r="K6" s="85">
        <v>195589</v>
      </c>
      <c r="L6" s="85">
        <v>0</v>
      </c>
      <c r="M6" s="8">
        <v>0</v>
      </c>
      <c r="N6" s="8">
        <v>0</v>
      </c>
      <c r="O6" s="8">
        <v>394</v>
      </c>
      <c r="P6" s="8">
        <v>0</v>
      </c>
      <c r="Q6" s="8">
        <v>765</v>
      </c>
      <c r="R6" s="8">
        <f t="shared" si="2"/>
        <v>1159</v>
      </c>
      <c r="S6" s="87">
        <f t="shared" si="3"/>
        <v>0.00592569111759864</v>
      </c>
      <c r="T6" s="87">
        <f>SUM(R4:R6)/($K$4+SUM(L4:L6,N4:N6,P4:P6))</f>
        <v>0.0104437035137215</v>
      </c>
    </row>
    <row r="7" s="68" customFormat="1" ht="21.95" customHeight="1" spans="1:20">
      <c r="A7" s="8" t="s">
        <v>39</v>
      </c>
      <c r="B7" s="8">
        <v>405968</v>
      </c>
      <c r="C7" s="8">
        <v>47068</v>
      </c>
      <c r="D7" s="8">
        <v>76456</v>
      </c>
      <c r="E7" s="8">
        <v>13832</v>
      </c>
      <c r="F7" s="8">
        <v>2711</v>
      </c>
      <c r="G7" s="8">
        <v>251</v>
      </c>
      <c r="H7" s="85">
        <f t="shared" si="0"/>
        <v>2962</v>
      </c>
      <c r="I7" s="86">
        <f>SUM($H$4:H7)/(($B$4)+SUM(C4:E7))</f>
        <v>0.0120604116017414</v>
      </c>
      <c r="J7" s="86">
        <f t="shared" si="1"/>
        <v>0.00545162738991835</v>
      </c>
      <c r="K7" s="85">
        <v>183794</v>
      </c>
      <c r="L7" s="85">
        <v>0</v>
      </c>
      <c r="M7" s="8">
        <v>239</v>
      </c>
      <c r="N7" s="8">
        <v>0</v>
      </c>
      <c r="O7" s="8">
        <v>119</v>
      </c>
      <c r="P7" s="8">
        <v>0</v>
      </c>
      <c r="Q7" s="8">
        <v>711</v>
      </c>
      <c r="R7" s="8">
        <f t="shared" si="2"/>
        <v>1069</v>
      </c>
      <c r="S7" s="87">
        <f t="shared" si="3"/>
        <v>0.00581629432952109</v>
      </c>
      <c r="T7" s="87">
        <f>SUM(R4:R7)/($K$4+SUM(L4:L7,N4:N7,P4:P7))</f>
        <v>0.01409934171155</v>
      </c>
    </row>
    <row r="8" s="68" customFormat="1" ht="21.95" customHeight="1" spans="1:20">
      <c r="A8" s="8" t="s">
        <v>40</v>
      </c>
      <c r="B8" s="8">
        <v>452838</v>
      </c>
      <c r="C8" s="8">
        <v>64937</v>
      </c>
      <c r="D8" s="8">
        <v>67856</v>
      </c>
      <c r="E8" s="8">
        <v>17707</v>
      </c>
      <c r="F8" s="8">
        <v>2825</v>
      </c>
      <c r="G8" s="8">
        <v>176</v>
      </c>
      <c r="H8" s="85">
        <f t="shared" si="0"/>
        <v>3001</v>
      </c>
      <c r="I8" s="86">
        <f>SUM($H$4:H8)/(($B$4)+SUM(C4:E8))</f>
        <v>0.0129851193168173</v>
      </c>
      <c r="J8" s="86">
        <f t="shared" si="1"/>
        <v>0.00497399467628427</v>
      </c>
      <c r="K8" s="85">
        <v>92759</v>
      </c>
      <c r="L8" s="85">
        <v>18367</v>
      </c>
      <c r="M8" s="8">
        <v>0</v>
      </c>
      <c r="N8" s="8">
        <v>48872</v>
      </c>
      <c r="O8" s="8">
        <v>231</v>
      </c>
      <c r="P8" s="8">
        <v>3708</v>
      </c>
      <c r="Q8" s="8">
        <v>550</v>
      </c>
      <c r="R8" s="8">
        <f t="shared" si="2"/>
        <v>781</v>
      </c>
      <c r="S8" s="87">
        <f t="shared" si="3"/>
        <v>0.00477074755964962</v>
      </c>
      <c r="T8" s="87">
        <f>SUM(R4:R8)/($K$4+SUM(L4:L8,N4:N8,P4:P8))</f>
        <v>0.0134958114549277</v>
      </c>
    </row>
    <row r="9" s="68" customFormat="1" ht="21.95" customHeight="1" spans="1:20">
      <c r="A9" s="8" t="s">
        <v>158</v>
      </c>
      <c r="B9" s="8">
        <v>437534</v>
      </c>
      <c r="C9" s="8">
        <v>59783</v>
      </c>
      <c r="D9" s="8">
        <v>54641</v>
      </c>
      <c r="E9" s="8">
        <v>8309</v>
      </c>
      <c r="F9" s="8">
        <v>2395</v>
      </c>
      <c r="G9" s="8">
        <v>0</v>
      </c>
      <c r="H9" s="85">
        <f t="shared" si="0"/>
        <v>2395</v>
      </c>
      <c r="I9" s="86">
        <f>SUM($H$4:H9)/(($B$4)+SUM(C4:E9))</f>
        <v>0.0135553561376629</v>
      </c>
      <c r="J9" s="86">
        <f t="shared" si="1"/>
        <v>0.00427474757570944</v>
      </c>
      <c r="K9" s="85">
        <v>148836</v>
      </c>
      <c r="L9" s="85">
        <v>0</v>
      </c>
      <c r="M9" s="8">
        <v>6</v>
      </c>
      <c r="N9" s="8">
        <v>0</v>
      </c>
      <c r="O9" s="8">
        <v>228</v>
      </c>
      <c r="P9" s="8">
        <v>0</v>
      </c>
      <c r="Q9" s="8">
        <v>548</v>
      </c>
      <c r="R9" s="8">
        <f t="shared" si="2"/>
        <v>782</v>
      </c>
      <c r="S9" s="87">
        <f t="shared" si="3"/>
        <v>0.00525410518960467</v>
      </c>
      <c r="T9" s="87">
        <f>SUM(R4:R9)/($K$4+SUM(L4:L9,N4:N9,P4:P9))</f>
        <v>0.0156478760058563</v>
      </c>
    </row>
    <row r="10" s="68" customFormat="1" ht="21.95" customHeight="1" spans="1:20">
      <c r="A10" s="8" t="s">
        <v>159</v>
      </c>
      <c r="B10" s="8">
        <v>457999</v>
      </c>
      <c r="C10" s="8">
        <v>61061</v>
      </c>
      <c r="D10" s="8">
        <v>50157</v>
      </c>
      <c r="E10" s="8">
        <v>9107</v>
      </c>
      <c r="F10" s="8">
        <v>4324</v>
      </c>
      <c r="G10" s="8">
        <v>468</v>
      </c>
      <c r="H10" s="85">
        <f t="shared" si="0"/>
        <v>4792</v>
      </c>
      <c r="I10" s="86">
        <f>SUM($H$4:H10)/(($B$4)+SUM(C4:E10))</f>
        <v>0.0156273967143136</v>
      </c>
      <c r="J10" s="86">
        <f t="shared" si="1"/>
        <v>0.00828601268493094</v>
      </c>
      <c r="K10" s="85">
        <v>122168</v>
      </c>
      <c r="L10" s="85">
        <v>0</v>
      </c>
      <c r="M10" s="8">
        <v>0</v>
      </c>
      <c r="N10" s="8">
        <v>0</v>
      </c>
      <c r="O10" s="8">
        <v>163</v>
      </c>
      <c r="P10" s="8">
        <v>39383</v>
      </c>
      <c r="Q10" s="8">
        <v>672</v>
      </c>
      <c r="R10" s="8">
        <f t="shared" si="2"/>
        <v>835</v>
      </c>
      <c r="S10" s="87">
        <f t="shared" si="3"/>
        <v>0.00516864643363396</v>
      </c>
      <c r="T10" s="87">
        <f>SUM(R4:R10)/($K$4+SUM(L4:L10,N4:N10,P4:P10))</f>
        <v>0.0161909845936115</v>
      </c>
    </row>
    <row r="11" s="68" customFormat="1" ht="21.95" customHeight="1" spans="1:20">
      <c r="A11" s="8" t="s">
        <v>160</v>
      </c>
      <c r="B11" s="8">
        <v>433936</v>
      </c>
      <c r="C11" s="8">
        <v>100845</v>
      </c>
      <c r="D11" s="8">
        <v>108088</v>
      </c>
      <c r="E11" s="8">
        <v>10993</v>
      </c>
      <c r="F11" s="8">
        <v>4198</v>
      </c>
      <c r="G11" s="8">
        <v>481</v>
      </c>
      <c r="H11" s="85">
        <f t="shared" si="0"/>
        <v>4679</v>
      </c>
      <c r="I11" s="86">
        <f>SUM($H$4:H11)/(($B$4)+SUM(C4:E11))</f>
        <v>0.0163390342444249</v>
      </c>
      <c r="J11" s="86">
        <f t="shared" si="1"/>
        <v>0.00715594422064595</v>
      </c>
      <c r="K11" s="85">
        <v>172709</v>
      </c>
      <c r="L11" s="85">
        <v>1230</v>
      </c>
      <c r="M11" s="8">
        <v>23</v>
      </c>
      <c r="N11" s="8">
        <v>0</v>
      </c>
      <c r="O11" s="8">
        <v>38</v>
      </c>
      <c r="P11" s="8">
        <v>11776</v>
      </c>
      <c r="Q11" s="8">
        <v>745</v>
      </c>
      <c r="R11" s="8">
        <f t="shared" si="2"/>
        <v>806</v>
      </c>
      <c r="S11" s="87">
        <f t="shared" si="3"/>
        <v>0.00433998330775651</v>
      </c>
      <c r="T11" s="87">
        <f>SUM(R4:R11)/($K$4+SUM(L4:L11,N4:N11,P4:P11))</f>
        <v>0.0176231055822937</v>
      </c>
    </row>
    <row r="12" s="68" customFormat="1" ht="21.95" customHeight="1" spans="1:20">
      <c r="A12" s="8" t="s">
        <v>161</v>
      </c>
      <c r="B12" s="8">
        <v>456020</v>
      </c>
      <c r="C12" s="8">
        <v>58186</v>
      </c>
      <c r="D12" s="8">
        <v>66908</v>
      </c>
      <c r="E12" s="8">
        <v>11778</v>
      </c>
      <c r="F12" s="8">
        <v>4594</v>
      </c>
      <c r="G12" s="8">
        <v>0</v>
      </c>
      <c r="H12" s="85">
        <f t="shared" si="0"/>
        <v>4594</v>
      </c>
      <c r="I12" s="86">
        <f>SUM($H$4:H12)/(($B$4)+SUM(C4:E12))</f>
        <v>0.0175915517201077</v>
      </c>
      <c r="J12" s="86">
        <f t="shared" si="1"/>
        <v>0.00774846009053926</v>
      </c>
      <c r="K12" s="85">
        <v>160679</v>
      </c>
      <c r="L12" s="85">
        <v>2100</v>
      </c>
      <c r="M12" s="8">
        <v>0</v>
      </c>
      <c r="N12" s="8">
        <v>0</v>
      </c>
      <c r="O12" s="8">
        <v>371</v>
      </c>
      <c r="P12" s="8">
        <v>0</v>
      </c>
      <c r="Q12" s="8">
        <v>816</v>
      </c>
      <c r="R12" s="8">
        <f t="shared" si="2"/>
        <v>1187</v>
      </c>
      <c r="S12" s="87">
        <f t="shared" si="3"/>
        <v>0.00729209541771359</v>
      </c>
      <c r="T12" s="87">
        <f>SUM(R4:R12)/($K$4+SUM(L4:L12,N4:N12,P4:P12))</f>
        <v>0.0203751965366474</v>
      </c>
    </row>
    <row r="13" s="68" customFormat="1" ht="21.95" customHeight="1" spans="1:20">
      <c r="A13" s="8" t="s">
        <v>162</v>
      </c>
      <c r="B13" s="8">
        <v>445567</v>
      </c>
      <c r="C13" s="8">
        <v>76677</v>
      </c>
      <c r="D13" s="8">
        <v>43623</v>
      </c>
      <c r="E13" s="8">
        <v>10783</v>
      </c>
      <c r="F13" s="8">
        <v>5563</v>
      </c>
      <c r="G13" s="8">
        <v>494</v>
      </c>
      <c r="H13" s="85">
        <f t="shared" si="0"/>
        <v>6057</v>
      </c>
      <c r="I13" s="86">
        <f>SUM($H$4:H13)/(($B$4)+SUM(C4:E13))</f>
        <v>0.0194545861815321</v>
      </c>
      <c r="J13" s="86">
        <f t="shared" si="1"/>
        <v>0.0105037717853117</v>
      </c>
      <c r="K13" s="85">
        <v>136988</v>
      </c>
      <c r="L13" s="85">
        <v>79</v>
      </c>
      <c r="M13" s="8">
        <v>0</v>
      </c>
      <c r="N13" s="8">
        <v>7</v>
      </c>
      <c r="O13" s="8">
        <v>3877</v>
      </c>
      <c r="P13" s="8">
        <v>32121</v>
      </c>
      <c r="Q13" s="8">
        <v>5501</v>
      </c>
      <c r="R13" s="8">
        <f t="shared" si="2"/>
        <v>9378</v>
      </c>
      <c r="S13" s="87">
        <f t="shared" si="3"/>
        <v>0.0554271698336239</v>
      </c>
      <c r="T13" s="87">
        <f>SUM(R4:R13)/($K$4+SUM(L4:L13,N4:N13,P4:P13))</f>
        <v>0.0397539927299875</v>
      </c>
    </row>
    <row r="14" s="68" customFormat="1" ht="21.95" customHeight="1" spans="1:20">
      <c r="A14" s="8" t="s">
        <v>163</v>
      </c>
      <c r="B14" s="8">
        <v>486938</v>
      </c>
      <c r="C14" s="8">
        <v>57107</v>
      </c>
      <c r="D14" s="8">
        <v>107058</v>
      </c>
      <c r="E14" s="8">
        <v>13356</v>
      </c>
      <c r="F14" s="8">
        <v>2454</v>
      </c>
      <c r="G14" s="8">
        <v>202</v>
      </c>
      <c r="H14" s="85">
        <f t="shared" si="0"/>
        <v>2656</v>
      </c>
      <c r="I14" s="86">
        <f>SUM($H$4:H14)/(($B$4)+SUM(C4:E14))</f>
        <v>0.0190905406293589</v>
      </c>
      <c r="J14" s="86">
        <f t="shared" si="1"/>
        <v>0.00399723684982821</v>
      </c>
      <c r="K14" s="85">
        <v>136072</v>
      </c>
      <c r="L14" s="85">
        <v>0</v>
      </c>
      <c r="M14" s="8">
        <v>195</v>
      </c>
      <c r="N14" s="8">
        <v>0</v>
      </c>
      <c r="O14" s="8">
        <v>43</v>
      </c>
      <c r="P14" s="8">
        <v>34377</v>
      </c>
      <c r="Q14" s="8">
        <v>1137</v>
      </c>
      <c r="R14" s="8">
        <f t="shared" si="2"/>
        <v>1375</v>
      </c>
      <c r="S14" s="87">
        <f t="shared" si="3"/>
        <v>0.0080669291107604</v>
      </c>
      <c r="T14" s="87">
        <f>SUM(R4:R14)/($K$4+SUM(L4:L14,N4:N14,P4:P14))</f>
        <v>0.039771284665958</v>
      </c>
    </row>
    <row r="15" s="68" customFormat="1" ht="21.95" customHeight="1" spans="1:20">
      <c r="A15" s="8" t="s">
        <v>164</v>
      </c>
      <c r="B15" s="8">
        <v>430180</v>
      </c>
      <c r="C15" s="8"/>
      <c r="D15" s="8">
        <v>49861</v>
      </c>
      <c r="E15" s="8">
        <v>12430</v>
      </c>
      <c r="F15" s="8">
        <v>2116</v>
      </c>
      <c r="G15" s="8">
        <v>271</v>
      </c>
      <c r="H15" s="85">
        <f t="shared" si="0"/>
        <v>2387</v>
      </c>
      <c r="I15" s="86">
        <f>SUM($H$4:H15)/(($B$4)+SUM(C4:E15))</f>
        <v>0.0196221494670514</v>
      </c>
      <c r="J15" s="86">
        <f t="shared" si="1"/>
        <v>0.00484698591389138</v>
      </c>
      <c r="K15" s="85">
        <v>161239</v>
      </c>
      <c r="L15" s="85"/>
      <c r="M15" s="8">
        <v>0</v>
      </c>
      <c r="N15" s="8"/>
      <c r="O15" s="8">
        <v>0</v>
      </c>
      <c r="P15" s="8"/>
      <c r="Q15" s="8">
        <v>9958</v>
      </c>
      <c r="R15" s="8">
        <f t="shared" si="2"/>
        <v>9958</v>
      </c>
      <c r="S15" s="87">
        <f t="shared" si="3"/>
        <v>0.0617592517939208</v>
      </c>
      <c r="T15" s="87">
        <f>SUM(R4:R15)/($K$4+SUM(L4:L15,N4:N15,P4:P15))</f>
        <v>0.0603267656803146</v>
      </c>
    </row>
    <row r="16" s="68" customFormat="1" ht="27" customHeight="1" spans="1:20">
      <c r="A16" s="17" t="s">
        <v>82</v>
      </c>
      <c r="B16" s="17">
        <f t="shared" ref="B16:H16" si="4">SUM(B4:B15)</f>
        <v>4994979</v>
      </c>
      <c r="C16" s="17">
        <f t="shared" si="4"/>
        <v>743016</v>
      </c>
      <c r="D16" s="17">
        <f t="shared" si="4"/>
        <v>908939</v>
      </c>
      <c r="E16" s="17">
        <f t="shared" si="4"/>
        <v>169357</v>
      </c>
      <c r="F16" s="17">
        <f t="shared" si="4"/>
        <v>41273</v>
      </c>
      <c r="G16" s="17">
        <f t="shared" si="4"/>
        <v>2940</v>
      </c>
      <c r="H16" s="17">
        <f t="shared" si="4"/>
        <v>44213</v>
      </c>
      <c r="I16" s="88">
        <f>H16/(B4+C16+D16+E16)</f>
        <v>0.0196221494670514</v>
      </c>
      <c r="J16" s="88"/>
      <c r="K16" s="17">
        <f t="shared" ref="K16:R16" si="5">SUM(K4:K15)</f>
        <v>2020947</v>
      </c>
      <c r="L16" s="17">
        <f t="shared" si="5"/>
        <v>29626</v>
      </c>
      <c r="M16" s="17">
        <f t="shared" si="5"/>
        <v>469</v>
      </c>
      <c r="N16" s="17">
        <f t="shared" si="5"/>
        <v>63125</v>
      </c>
      <c r="O16" s="17">
        <f t="shared" si="5"/>
        <v>6237</v>
      </c>
      <c r="P16" s="17">
        <f t="shared" si="5"/>
        <v>121365</v>
      </c>
      <c r="Q16" s="17">
        <f t="shared" si="5"/>
        <v>22519</v>
      </c>
      <c r="R16" s="17">
        <f t="shared" si="5"/>
        <v>29225</v>
      </c>
      <c r="S16" s="89">
        <f>R16/(K4+L16+N16+P16)</f>
        <v>0.0603267656803146</v>
      </c>
      <c r="T16" s="89"/>
    </row>
    <row r="17" s="69" customFormat="1" ht="21.95" customHeight="1" spans="2:17">
      <c r="B17" s="90"/>
      <c r="C17" s="91"/>
      <c r="D17" s="91"/>
      <c r="E17" s="91"/>
      <c r="F17" s="91"/>
      <c r="G17" s="91"/>
      <c r="H17" s="91"/>
      <c r="Q17" s="92" t="s">
        <v>207</v>
      </c>
    </row>
    <row r="18" s="69" customFormat="1" ht="21.95" customHeight="1"/>
    <row r="19" s="69" customFormat="1" ht="21.95" customHeight="1" spans="2:17">
      <c r="F19" s="93">
        <f>H16+R16</f>
        <v>73438</v>
      </c>
    </row>
    <row r="20" s="69" customFormat="1" ht="21.95" customHeight="1" spans="2:17">
      <c r="F20" s="69">
        <f>B4+SUM(C16:E16)+K4+SUM(L16,N16,P16)</f>
        <v>2737664</v>
      </c>
    </row>
    <row r="21" s="69" customFormat="1" ht="21.95" customHeight="1" spans="2:17">
      <c r="E21" s="94">
        <f>F19/F20</f>
        <v>0.026825059612867</v>
      </c>
    </row>
    <row r="22" s="69" customFormat="1" ht="21.95" customHeight="1"/>
    <row r="23" s="69" customFormat="1" ht="21.95" customHeight="1"/>
    <row r="24" s="69" customFormat="1" ht="21.95" customHeight="1"/>
    <row r="25" s="69" customFormat="1" ht="21.95" customHeight="1"/>
    <row r="26" s="69" customFormat="1" ht="21.95" customHeight="1"/>
    <row r="27" s="69" customFormat="1" ht="21.95" customHeight="1"/>
    <row r="28" s="69" customFormat="1" ht="21.95" customHeight="1"/>
    <row r="29" s="69" customFormat="1" ht="21.95" customHeight="1"/>
    <row r="30" s="69" customFormat="1" ht="21.95" customHeight="1"/>
    <row r="31" s="69" customFormat="1" ht="21.95" customHeight="1"/>
  </sheetData>
  <mergeCells count="14">
    <mergeCell ref="A1:S1"/>
    <mergeCell ref="F2:H2"/>
    <mergeCell ref="L2:R2"/>
    <mergeCell ref="B17:H17"/>
    <mergeCell ref="A2:A3"/>
    <mergeCell ref="B2:B3"/>
    <mergeCell ref="C2:C3"/>
    <mergeCell ref="D2:D3"/>
    <mergeCell ref="E2:E3"/>
    <mergeCell ref="I2:I3"/>
    <mergeCell ref="J2:J3"/>
    <mergeCell ref="K2:K3"/>
    <mergeCell ref="S2:S3"/>
    <mergeCell ref="T2:T3"/>
  </mergeCells>
  <pageMargins left="0.156944444444444" right="0.156944444444444" top="0.66875" bottom="0.590277777777778" header="0.5" footer="0.5"/>
  <pageSetup paperSize="9" scale="82" orientation="landscape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opLeftCell="A7" workbookViewId="0">
      <selection activeCell="P18" sqref="P18"/>
    </sheetView>
  </sheetViews>
  <sheetFormatPr defaultColWidth="9" defaultRowHeight="13.8"/>
  <cols>
    <col min="1" max="1" width="5.25" style="65" customWidth="1"/>
    <col min="2" max="2" width="10.25" style="65" customWidth="1"/>
    <col min="3" max="5" width="9" style="65" customWidth="1"/>
    <col min="6" max="6" width="9.125" style="65" customWidth="1"/>
    <col min="7" max="7" width="7.25" style="70" customWidth="1"/>
    <col min="8" max="8" width="8.625" style="70" customWidth="1"/>
    <col min="9" max="9" width="11.375" style="70" customWidth="1"/>
    <col min="10" max="10" width="9.75" style="70" customWidth="1"/>
    <col min="11" max="11" width="10.125" style="70" customWidth="1"/>
    <col min="12" max="12" width="9.25" style="70" customWidth="1"/>
    <col min="13" max="13" width="7.25" style="70" customWidth="1"/>
    <col min="14" max="14" width="7.125" style="70" customWidth="1"/>
    <col min="15" max="15" width="8" style="70" customWidth="1"/>
    <col min="16" max="16" width="8.25" style="70" customWidth="1"/>
    <col min="17" max="17" width="6.5" style="70" customWidth="1"/>
    <col min="18" max="18" width="10.25" style="70" customWidth="1"/>
    <col min="19" max="19" width="10.875" style="70" customWidth="1"/>
    <col min="20" max="20" width="12" style="95" customWidth="1"/>
    <col min="21" max="16384" width="9" style="65"/>
  </cols>
  <sheetData>
    <row r="1" s="65" customFormat="1" ht="27" customHeight="1" spans="1:20">
      <c r="A1" s="71" t="s">
        <v>210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95"/>
    </row>
    <row r="2" s="66" customFormat="1" ht="27" customHeight="1" spans="1:20">
      <c r="A2" s="72" t="s">
        <v>1</v>
      </c>
      <c r="B2" s="73" t="s">
        <v>211</v>
      </c>
      <c r="C2" s="73" t="s">
        <v>173</v>
      </c>
      <c r="D2" s="73" t="s">
        <v>212</v>
      </c>
      <c r="E2" s="73" t="s">
        <v>213</v>
      </c>
      <c r="F2" s="75" t="s">
        <v>176</v>
      </c>
      <c r="G2" s="76"/>
      <c r="H2" s="77"/>
      <c r="I2" s="78" t="s">
        <v>177</v>
      </c>
      <c r="J2" s="78" t="s">
        <v>178</v>
      </c>
      <c r="K2" s="73" t="s">
        <v>214</v>
      </c>
      <c r="L2" s="79" t="s">
        <v>180</v>
      </c>
      <c r="M2" s="76"/>
      <c r="N2" s="76"/>
      <c r="O2" s="76"/>
      <c r="P2" s="76"/>
      <c r="Q2" s="76"/>
      <c r="R2" s="80"/>
      <c r="S2" s="78" t="s">
        <v>181</v>
      </c>
      <c r="T2" s="96" t="s">
        <v>182</v>
      </c>
    </row>
    <row r="3" s="67" customFormat="1" ht="39" customHeight="1" spans="1:20">
      <c r="A3" s="72"/>
      <c r="B3" s="73"/>
      <c r="C3" s="73"/>
      <c r="D3" s="73"/>
      <c r="E3" s="73"/>
      <c r="F3" s="82" t="s">
        <v>134</v>
      </c>
      <c r="G3" s="73" t="s">
        <v>215</v>
      </c>
      <c r="H3" s="83" t="s">
        <v>216</v>
      </c>
      <c r="I3" s="78"/>
      <c r="J3" s="78"/>
      <c r="K3" s="73"/>
      <c r="L3" s="73" t="s">
        <v>199</v>
      </c>
      <c r="M3" s="13" t="s">
        <v>132</v>
      </c>
      <c r="N3" s="73" t="s">
        <v>201</v>
      </c>
      <c r="O3" s="13" t="s">
        <v>133</v>
      </c>
      <c r="P3" s="73" t="s">
        <v>202</v>
      </c>
      <c r="Q3" s="13" t="s">
        <v>134</v>
      </c>
      <c r="R3" s="97" t="s">
        <v>217</v>
      </c>
      <c r="S3" s="84"/>
      <c r="T3" s="98"/>
    </row>
    <row r="4" s="68" customFormat="1" ht="21.95" customHeight="1" spans="1:20">
      <c r="A4" s="8" t="s">
        <v>36</v>
      </c>
      <c r="B4" s="8">
        <v>334643</v>
      </c>
      <c r="C4" s="8">
        <v>85157</v>
      </c>
      <c r="D4" s="8">
        <v>102095</v>
      </c>
      <c r="E4" s="8">
        <v>15297</v>
      </c>
      <c r="F4" s="8">
        <v>2716</v>
      </c>
      <c r="G4" s="85">
        <v>0</v>
      </c>
      <c r="H4" s="85">
        <f t="shared" ref="H4:H15" si="0">F4+G4</f>
        <v>2716</v>
      </c>
      <c r="I4" s="86">
        <f>H4/SUM(B4:E4)</f>
        <v>0.00505592041579175</v>
      </c>
      <c r="J4" s="86">
        <f t="shared" ref="J4:J15" si="1">H4/SUM(B4:E4)</f>
        <v>0.00505592041579175</v>
      </c>
      <c r="K4" s="85">
        <v>124888</v>
      </c>
      <c r="L4" s="85">
        <v>2680</v>
      </c>
      <c r="M4" s="8">
        <v>154</v>
      </c>
      <c r="N4" s="8">
        <v>25026</v>
      </c>
      <c r="O4" s="8">
        <v>696</v>
      </c>
      <c r="P4" s="8">
        <v>0</v>
      </c>
      <c r="Q4" s="8">
        <v>2488</v>
      </c>
      <c r="R4" s="8">
        <f t="shared" ref="R4:R15" si="2">M4+O4+Q4</f>
        <v>3338</v>
      </c>
      <c r="S4" s="87">
        <f t="shared" ref="S4:S15" si="3">R4/(K4+L4+N4+P4)</f>
        <v>0.0218750409583601</v>
      </c>
      <c r="T4" s="99">
        <f>R4/($K$4+SUM(L4,N4,P4))</f>
        <v>0.0218750409583601</v>
      </c>
    </row>
    <row r="5" s="68" customFormat="1" ht="21.95" customHeight="1" spans="1:20">
      <c r="A5" s="8" t="s">
        <v>37</v>
      </c>
      <c r="B5" s="8">
        <v>311591</v>
      </c>
      <c r="C5" s="8">
        <v>79352</v>
      </c>
      <c r="D5" s="8">
        <v>5154</v>
      </c>
      <c r="E5" s="8">
        <v>4750</v>
      </c>
      <c r="F5" s="8">
        <v>2207</v>
      </c>
      <c r="G5" s="8">
        <v>0</v>
      </c>
      <c r="H5" s="85">
        <f t="shared" si="0"/>
        <v>2207</v>
      </c>
      <c r="I5" s="86">
        <f>SUM($H$4:H5)/(($B$4)+SUM(C4:E5))</f>
        <v>0.00785859321124818</v>
      </c>
      <c r="J5" s="86">
        <f t="shared" si="1"/>
        <v>0.00550584138087599</v>
      </c>
      <c r="K5" s="85">
        <v>143727</v>
      </c>
      <c r="L5" s="85">
        <v>14867</v>
      </c>
      <c r="M5" s="8">
        <v>0</v>
      </c>
      <c r="N5" s="8">
        <v>12907</v>
      </c>
      <c r="O5" s="8">
        <v>93</v>
      </c>
      <c r="P5" s="8">
        <v>16899</v>
      </c>
      <c r="Q5" s="8">
        <v>837</v>
      </c>
      <c r="R5" s="8">
        <f t="shared" si="2"/>
        <v>930</v>
      </c>
      <c r="S5" s="87">
        <f t="shared" si="3"/>
        <v>0.00493630573248408</v>
      </c>
      <c r="T5" s="99">
        <f>SUM(R4:R5)/($K$4+SUM(L4:L5,N4:N5,P4:P5))</f>
        <v>0.0216356511732829</v>
      </c>
    </row>
    <row r="6" s="68" customFormat="1" ht="21.95" customHeight="1" spans="1:20">
      <c r="A6" s="8" t="s">
        <v>38</v>
      </c>
      <c r="B6" s="8">
        <v>405684</v>
      </c>
      <c r="C6" s="8">
        <v>15736</v>
      </c>
      <c r="D6" s="8">
        <v>11537</v>
      </c>
      <c r="E6" s="8">
        <v>5934</v>
      </c>
      <c r="F6" s="8">
        <v>2134</v>
      </c>
      <c r="G6" s="8">
        <v>0</v>
      </c>
      <c r="H6" s="85">
        <f t="shared" si="0"/>
        <v>2134</v>
      </c>
      <c r="I6" s="86">
        <f>SUM($H$4:H6)/(($B$4)+SUM(C4:E6))</f>
        <v>0.010698016387354</v>
      </c>
      <c r="J6" s="86">
        <f t="shared" si="1"/>
        <v>0.00486225509295019</v>
      </c>
      <c r="K6" s="85">
        <v>157697</v>
      </c>
      <c r="L6" s="85">
        <v>21986</v>
      </c>
      <c r="M6" s="8">
        <v>819</v>
      </c>
      <c r="N6" s="8">
        <v>42965</v>
      </c>
      <c r="O6" s="8">
        <v>2828</v>
      </c>
      <c r="P6" s="8">
        <v>0</v>
      </c>
      <c r="Q6" s="8">
        <v>1775</v>
      </c>
      <c r="R6" s="8">
        <f t="shared" si="2"/>
        <v>5422</v>
      </c>
      <c r="S6" s="87">
        <f t="shared" si="3"/>
        <v>0.0243523409148072</v>
      </c>
      <c r="T6" s="99">
        <f>SUM(R4:R6)/($K$4+SUM(L4:L6,N4:N6,P4:P6))</f>
        <v>0.0369539848522985</v>
      </c>
    </row>
    <row r="7" s="68" customFormat="1" ht="21.95" customHeight="1" spans="1:20">
      <c r="A7" s="8" t="s">
        <v>39</v>
      </c>
      <c r="B7" s="8">
        <v>449312</v>
      </c>
      <c r="C7" s="8">
        <v>6065</v>
      </c>
      <c r="D7" s="8">
        <v>18898</v>
      </c>
      <c r="E7" s="8">
        <v>10179</v>
      </c>
      <c r="F7" s="8">
        <v>2882</v>
      </c>
      <c r="G7" s="8">
        <v>0</v>
      </c>
      <c r="H7" s="85">
        <f t="shared" si="0"/>
        <v>2882</v>
      </c>
      <c r="I7" s="86">
        <f>SUM($H$4:H7)/(($B$4)+SUM(C4:E7))</f>
        <v>0.014304897689541</v>
      </c>
      <c r="J7" s="86">
        <f t="shared" si="1"/>
        <v>0.00594896522683268</v>
      </c>
      <c r="K7" s="85">
        <v>177551</v>
      </c>
      <c r="L7" s="85">
        <v>17660</v>
      </c>
      <c r="M7" s="8">
        <v>101</v>
      </c>
      <c r="N7" s="8">
        <v>3000</v>
      </c>
      <c r="O7" s="8">
        <v>3</v>
      </c>
      <c r="P7" s="8">
        <v>0</v>
      </c>
      <c r="Q7" s="8">
        <v>694</v>
      </c>
      <c r="R7" s="8">
        <f t="shared" si="2"/>
        <v>798</v>
      </c>
      <c r="S7" s="87">
        <f t="shared" si="3"/>
        <v>0.00402601268345349</v>
      </c>
      <c r="T7" s="99">
        <f>SUM(R4:R7)/($K$4+SUM(L4:L7,N4:N7,P4:P7))</f>
        <v>0.0370760539879383</v>
      </c>
    </row>
    <row r="8" s="68" customFormat="1" ht="21.95" customHeight="1" spans="1:20">
      <c r="A8" s="8" t="s">
        <v>40</v>
      </c>
      <c r="B8" s="8">
        <v>423817</v>
      </c>
      <c r="C8" s="8">
        <v>38894</v>
      </c>
      <c r="D8" s="8">
        <v>25656</v>
      </c>
      <c r="E8" s="8">
        <v>19319</v>
      </c>
      <c r="F8" s="8">
        <v>4381</v>
      </c>
      <c r="G8" s="8">
        <v>0</v>
      </c>
      <c r="H8" s="85">
        <f t="shared" si="0"/>
        <v>4381</v>
      </c>
      <c r="I8" s="86">
        <f>SUM($H$4:H8)/(($B$4)+SUM(C4:E8))</f>
        <v>0.0183904267041325</v>
      </c>
      <c r="J8" s="86">
        <f t="shared" si="1"/>
        <v>0.00862934963737428</v>
      </c>
      <c r="K8" s="85">
        <v>171824</v>
      </c>
      <c r="L8" s="85">
        <v>22492</v>
      </c>
      <c r="M8" s="8">
        <v>0</v>
      </c>
      <c r="N8" s="8">
        <v>3532</v>
      </c>
      <c r="O8" s="8">
        <v>474</v>
      </c>
      <c r="P8" s="8">
        <v>0</v>
      </c>
      <c r="Q8" s="8">
        <v>700</v>
      </c>
      <c r="R8" s="8">
        <f t="shared" si="2"/>
        <v>1174</v>
      </c>
      <c r="S8" s="87">
        <f t="shared" si="3"/>
        <v>0.00593384820670414</v>
      </c>
      <c r="T8" s="99">
        <f>SUM(R4:R8)/($K$4+SUM(L4:L8,N4:N8,P4:P8))</f>
        <v>0.0377530737903931</v>
      </c>
    </row>
    <row r="9" s="68" customFormat="1" ht="21.95" customHeight="1" spans="1:20">
      <c r="A9" s="8" t="s">
        <v>158</v>
      </c>
      <c r="B9" s="8">
        <v>444251</v>
      </c>
      <c r="C9" s="8">
        <v>21707</v>
      </c>
      <c r="D9" s="8">
        <v>31589</v>
      </c>
      <c r="E9" s="8">
        <v>12948</v>
      </c>
      <c r="F9" s="8">
        <v>5213</v>
      </c>
      <c r="G9" s="8">
        <v>0</v>
      </c>
      <c r="H9" s="85">
        <f t="shared" si="0"/>
        <v>5213</v>
      </c>
      <c r="I9" s="86">
        <f>SUM($H$4:H9)/(($B$4)+SUM(C4:E9))</f>
        <v>0.0231184386502704</v>
      </c>
      <c r="J9" s="86">
        <f t="shared" si="1"/>
        <v>0.0102116573130001</v>
      </c>
      <c r="K9" s="85">
        <v>204408</v>
      </c>
      <c r="L9" s="85">
        <v>31738</v>
      </c>
      <c r="M9" s="8">
        <v>222</v>
      </c>
      <c r="N9" s="8">
        <v>2222</v>
      </c>
      <c r="O9" s="8">
        <v>366</v>
      </c>
      <c r="P9" s="8">
        <v>0</v>
      </c>
      <c r="Q9" s="8">
        <v>577</v>
      </c>
      <c r="R9" s="8">
        <f t="shared" si="2"/>
        <v>1165</v>
      </c>
      <c r="S9" s="87">
        <f t="shared" si="3"/>
        <v>0.00488740099342194</v>
      </c>
      <c r="T9" s="99">
        <f>SUM(R4:R9)/($K$4+SUM(L4:L9,N4:N9,P4:P9))</f>
        <v>0.0374115533363277</v>
      </c>
    </row>
    <row r="10" s="68" customFormat="1" ht="21.95" customHeight="1" spans="1:20">
      <c r="A10" s="8" t="s">
        <v>159</v>
      </c>
      <c r="B10" s="8">
        <v>417793</v>
      </c>
      <c r="C10" s="8">
        <v>4553</v>
      </c>
      <c r="D10" s="8">
        <v>21529</v>
      </c>
      <c r="E10" s="8">
        <v>8442</v>
      </c>
      <c r="F10" s="8">
        <v>4820</v>
      </c>
      <c r="G10" s="8">
        <v>0</v>
      </c>
      <c r="H10" s="85">
        <f t="shared" si="0"/>
        <v>4820</v>
      </c>
      <c r="I10" s="86">
        <f>SUM($H$4:H10)/(($B$4)+SUM(C4:E10))</f>
        <v>0.0276916744178642</v>
      </c>
      <c r="J10" s="86">
        <f t="shared" si="1"/>
        <v>0.0106562432983947</v>
      </c>
      <c r="K10" s="85">
        <v>195512</v>
      </c>
      <c r="L10" s="85">
        <v>34376</v>
      </c>
      <c r="M10" s="8">
        <v>116</v>
      </c>
      <c r="N10" s="8">
        <v>128</v>
      </c>
      <c r="O10" s="8">
        <v>272</v>
      </c>
      <c r="P10" s="8">
        <v>0</v>
      </c>
      <c r="Q10" s="8">
        <v>926</v>
      </c>
      <c r="R10" s="8">
        <f t="shared" si="2"/>
        <v>1314</v>
      </c>
      <c r="S10" s="87">
        <f t="shared" si="3"/>
        <v>0.00571264607679466</v>
      </c>
      <c r="T10" s="99">
        <f>SUM(R4:R10)/($K$4+SUM(L4:L10,N4:N10,P4:P10))</f>
        <v>0.0374729042892046</v>
      </c>
    </row>
    <row r="11" s="68" customFormat="1" ht="21.95" customHeight="1" spans="1:20">
      <c r="A11" s="8" t="s">
        <v>160</v>
      </c>
      <c r="B11" s="8">
        <v>430780</v>
      </c>
      <c r="C11" s="8">
        <v>2064</v>
      </c>
      <c r="D11" s="8">
        <v>33736</v>
      </c>
      <c r="E11" s="8">
        <v>14221</v>
      </c>
      <c r="F11" s="8">
        <v>3302</v>
      </c>
      <c r="G11" s="8">
        <v>212</v>
      </c>
      <c r="H11" s="85">
        <f t="shared" si="0"/>
        <v>3514</v>
      </c>
      <c r="I11" s="86">
        <f>SUM($H$4:H11)/(($B$4)+SUM(C4:E11))</f>
        <v>0.0299820862763663</v>
      </c>
      <c r="J11" s="86">
        <f t="shared" si="1"/>
        <v>0.00730863704526405</v>
      </c>
      <c r="K11" s="85">
        <v>166896</v>
      </c>
      <c r="L11" s="85">
        <v>18980</v>
      </c>
      <c r="M11" s="8">
        <v>467</v>
      </c>
      <c r="N11" s="8">
        <v>12800</v>
      </c>
      <c r="O11" s="8">
        <v>86</v>
      </c>
      <c r="P11" s="8">
        <v>7647</v>
      </c>
      <c r="Q11" s="8">
        <v>1068</v>
      </c>
      <c r="R11" s="8">
        <f t="shared" si="2"/>
        <v>1621</v>
      </c>
      <c r="S11" s="87">
        <f t="shared" si="3"/>
        <v>0.00785661317448855</v>
      </c>
      <c r="T11" s="99">
        <f>SUM(R4:R11)/($K$4+SUM(L4:L11,N4:N11,P4:P11))</f>
        <v>0.0378173337843966</v>
      </c>
    </row>
    <row r="12" s="68" customFormat="1" ht="21.95" customHeight="1" spans="1:20">
      <c r="A12" s="8" t="s">
        <v>161</v>
      </c>
      <c r="B12" s="8">
        <v>450080</v>
      </c>
      <c r="C12" s="8">
        <v>6566</v>
      </c>
      <c r="D12" s="8">
        <v>34662</v>
      </c>
      <c r="E12" s="8">
        <v>17071</v>
      </c>
      <c r="F12" s="8">
        <v>4305</v>
      </c>
      <c r="G12" s="8">
        <v>110</v>
      </c>
      <c r="H12" s="85">
        <f t="shared" si="0"/>
        <v>4415</v>
      </c>
      <c r="I12" s="86">
        <f>SUM($H$4:H12)/(($B$4)+SUM(C4:E12))</f>
        <v>0.0326822265462858</v>
      </c>
      <c r="J12" s="86">
        <f t="shared" si="1"/>
        <v>0.00868446572340714</v>
      </c>
      <c r="K12" s="85">
        <v>177734</v>
      </c>
      <c r="L12" s="85">
        <v>28707</v>
      </c>
      <c r="M12" s="8">
        <v>540</v>
      </c>
      <c r="N12" s="8">
        <v>9666</v>
      </c>
      <c r="O12" s="8">
        <v>2880</v>
      </c>
      <c r="P12" s="8">
        <v>0</v>
      </c>
      <c r="Q12" s="8">
        <v>1098</v>
      </c>
      <c r="R12" s="8">
        <f t="shared" si="2"/>
        <v>4518</v>
      </c>
      <c r="S12" s="87">
        <f t="shared" si="3"/>
        <v>0.0209063102999903</v>
      </c>
      <c r="T12" s="99">
        <f>SUM(R4:R12)/($K$4+SUM(L4:L12,N4:N12,P4:P12))</f>
        <v>0.0445551732774416</v>
      </c>
    </row>
    <row r="13" s="68" customFormat="1" ht="21.95" customHeight="1" spans="1:20">
      <c r="A13" s="8" t="s">
        <v>162</v>
      </c>
      <c r="B13" s="8">
        <v>423276</v>
      </c>
      <c r="C13" s="8">
        <v>14100</v>
      </c>
      <c r="D13" s="8">
        <v>16435</v>
      </c>
      <c r="E13" s="8">
        <v>10216</v>
      </c>
      <c r="F13" s="8">
        <v>5262</v>
      </c>
      <c r="G13" s="8">
        <v>458</v>
      </c>
      <c r="H13" s="85">
        <f t="shared" si="0"/>
        <v>5720</v>
      </c>
      <c r="I13" s="86">
        <f>SUM($H$4:H13)/(($B$4)+SUM(C4:E13))</f>
        <v>0.0369487751639516</v>
      </c>
      <c r="J13" s="86">
        <f t="shared" si="1"/>
        <v>0.0123268689106453</v>
      </c>
      <c r="K13" s="85">
        <v>198458</v>
      </c>
      <c r="L13" s="85">
        <v>41319</v>
      </c>
      <c r="M13" s="8">
        <v>412</v>
      </c>
      <c r="N13" s="8">
        <v>8624</v>
      </c>
      <c r="O13" s="8">
        <v>3372</v>
      </c>
      <c r="P13" s="8">
        <v>3661</v>
      </c>
      <c r="Q13" s="8">
        <v>1113</v>
      </c>
      <c r="R13" s="8">
        <f t="shared" si="2"/>
        <v>4897</v>
      </c>
      <c r="S13" s="87">
        <f t="shared" si="3"/>
        <v>0.0194277598368655</v>
      </c>
      <c r="T13" s="99">
        <f>SUM(R4:R13)/($K$4+SUM(L4:L13,N4:N13,P4:P13))</f>
        <v>0.0494860152917821</v>
      </c>
    </row>
    <row r="14" s="68" customFormat="1" ht="21.95" customHeight="1" spans="1:20">
      <c r="A14" s="8" t="s">
        <v>163</v>
      </c>
      <c r="B14" s="8">
        <v>434691</v>
      </c>
      <c r="C14" s="8">
        <v>14279</v>
      </c>
      <c r="D14" s="8">
        <v>18604</v>
      </c>
      <c r="E14" s="8">
        <v>8305</v>
      </c>
      <c r="F14" s="8">
        <v>3010</v>
      </c>
      <c r="G14" s="8">
        <v>273</v>
      </c>
      <c r="H14" s="85">
        <f t="shared" si="0"/>
        <v>3283</v>
      </c>
      <c r="I14" s="86">
        <f>SUM($H$4:H14)/(($B$4)+SUM(C4:E14))</f>
        <v>0.0385951857215108</v>
      </c>
      <c r="J14" s="86">
        <f t="shared" si="1"/>
        <v>0.00689881251326493</v>
      </c>
      <c r="K14" s="85">
        <v>243745</v>
      </c>
      <c r="L14" s="85">
        <v>42462</v>
      </c>
      <c r="M14" s="8">
        <v>1995</v>
      </c>
      <c r="N14" s="8">
        <v>2891</v>
      </c>
      <c r="O14" s="8">
        <v>1571</v>
      </c>
      <c r="P14" s="8">
        <v>3942</v>
      </c>
      <c r="Q14" s="8">
        <v>458</v>
      </c>
      <c r="R14" s="8">
        <f t="shared" si="2"/>
        <v>4024</v>
      </c>
      <c r="S14" s="87">
        <f t="shared" si="3"/>
        <v>0.0137319137319137</v>
      </c>
      <c r="T14" s="99">
        <f>SUM(R4:R14)/($K$4+SUM(L4:L14,N4:N14,P4:P14))</f>
        <v>0.052325445960596</v>
      </c>
    </row>
    <row r="15" s="68" customFormat="1" ht="21.95" customHeight="1" spans="1:20">
      <c r="A15" s="8" t="s">
        <v>164</v>
      </c>
      <c r="B15" s="8">
        <v>419477</v>
      </c>
      <c r="C15" s="8">
        <v>10826</v>
      </c>
      <c r="D15" s="8">
        <v>91486</v>
      </c>
      <c r="E15" s="8">
        <v>15377</v>
      </c>
      <c r="F15" s="8">
        <v>0</v>
      </c>
      <c r="G15" s="8">
        <v>0</v>
      </c>
      <c r="H15" s="85">
        <f t="shared" si="0"/>
        <v>0</v>
      </c>
      <c r="I15" s="86">
        <f>SUM($H$4:H15)/(($B$4)+SUM(C4:E15))</f>
        <v>0.0347697708066991</v>
      </c>
      <c r="J15" s="86">
        <f t="shared" si="1"/>
        <v>0</v>
      </c>
      <c r="K15" s="85"/>
      <c r="L15" s="85">
        <v>4081</v>
      </c>
      <c r="M15" s="8"/>
      <c r="N15" s="8">
        <v>33262</v>
      </c>
      <c r="O15" s="8"/>
      <c r="P15" s="8">
        <v>5323</v>
      </c>
      <c r="Q15" s="8"/>
      <c r="R15" s="8">
        <f t="shared" si="2"/>
        <v>0</v>
      </c>
      <c r="S15" s="87">
        <f t="shared" si="3"/>
        <v>0</v>
      </c>
      <c r="T15" s="99">
        <f>SUM(R4:R15)/($K$4+SUM(L4:L15,N4:N15,P4:P15))</f>
        <v>0.0486091112328147</v>
      </c>
    </row>
    <row r="16" s="68" customFormat="1" ht="27" customHeight="1" spans="1:20">
      <c r="A16" s="17" t="s">
        <v>82</v>
      </c>
      <c r="B16" s="17"/>
      <c r="C16" s="17">
        <f t="shared" ref="C16:H16" si="4">SUM(C4:C15)</f>
        <v>299299</v>
      </c>
      <c r="D16" s="17">
        <f t="shared" si="4"/>
        <v>411381</v>
      </c>
      <c r="E16" s="17">
        <f t="shared" si="4"/>
        <v>142059</v>
      </c>
      <c r="F16" s="17">
        <f t="shared" si="4"/>
        <v>40232</v>
      </c>
      <c r="G16" s="17">
        <f t="shared" si="4"/>
        <v>1053</v>
      </c>
      <c r="H16" s="17">
        <f t="shared" si="4"/>
        <v>41285</v>
      </c>
      <c r="I16" s="88">
        <f>H16/(B4+C16+D16+E16)</f>
        <v>0.0347697708066991</v>
      </c>
      <c r="J16" s="88"/>
      <c r="K16" s="17"/>
      <c r="L16" s="17">
        <f t="shared" ref="L16:R16" si="5">SUM(L4:L15)</f>
        <v>281348</v>
      </c>
      <c r="M16" s="17">
        <f t="shared" si="5"/>
        <v>4826</v>
      </c>
      <c r="N16" s="17">
        <f t="shared" si="5"/>
        <v>157023</v>
      </c>
      <c r="O16" s="17">
        <f t="shared" si="5"/>
        <v>12641</v>
      </c>
      <c r="P16" s="17">
        <f t="shared" si="5"/>
        <v>37472</v>
      </c>
      <c r="Q16" s="17">
        <f t="shared" si="5"/>
        <v>11734</v>
      </c>
      <c r="R16" s="17">
        <f t="shared" si="5"/>
        <v>29201</v>
      </c>
      <c r="S16" s="89">
        <f>R16/(K4+L16+N16+P16)</f>
        <v>0.0486091112328147</v>
      </c>
      <c r="T16" s="100"/>
    </row>
    <row r="17" s="69" customFormat="1" ht="21.95" customHeight="1" spans="2:20"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Q17" s="92" t="s">
        <v>207</v>
      </c>
      <c r="T17" s="103"/>
    </row>
    <row r="18" s="69" customFormat="1" ht="21.95" customHeight="1" spans="2:20">
      <c r="T18" s="103"/>
    </row>
    <row r="19" s="69" customFormat="1" ht="21.95" customHeight="1" spans="2:20">
      <c r="F19" s="93">
        <f>H16+R16</f>
        <v>70486</v>
      </c>
      <c r="T19" s="103"/>
    </row>
    <row r="20" s="69" customFormat="1" ht="21.95" customHeight="1" spans="2:20">
      <c r="F20" s="69">
        <f>B4+SUM(C16:E16)+K4+SUM(L16,N16,P16)</f>
        <v>1788113</v>
      </c>
      <c r="T20" s="103"/>
    </row>
    <row r="21" s="69" customFormat="1" ht="21.95" customHeight="1" spans="2:20">
      <c r="E21" s="69">
        <f>F19/F20</f>
        <v>0.0394192089649815</v>
      </c>
      <c r="T21" s="103"/>
    </row>
    <row r="22" s="69" customFormat="1" ht="21.95" customHeight="1" spans="2:20">
      <c r="T22" s="103"/>
    </row>
    <row r="23" s="69" customFormat="1" ht="21.95" customHeight="1" spans="2:20">
      <c r="T23" s="103"/>
    </row>
    <row r="24" s="69" customFormat="1" ht="21.95" customHeight="1" spans="2:20">
      <c r="T24" s="103"/>
    </row>
    <row r="25" s="69" customFormat="1" ht="21.95" customHeight="1" spans="2:20">
      <c r="T25" s="103"/>
    </row>
    <row r="26" s="69" customFormat="1" ht="21.95" customHeight="1" spans="2:20">
      <c r="T26" s="103"/>
    </row>
    <row r="27" s="69" customFormat="1" ht="21.95" customHeight="1" spans="2:20">
      <c r="T27" s="103"/>
    </row>
    <row r="28" s="69" customFormat="1" ht="21.95" customHeight="1" spans="2:20">
      <c r="T28" s="103"/>
    </row>
    <row r="29" s="69" customFormat="1" ht="21.95" customHeight="1" spans="2:20">
      <c r="T29" s="103"/>
    </row>
    <row r="30" s="69" customFormat="1" ht="21.95" customHeight="1" spans="2:20">
      <c r="T30" s="103"/>
    </row>
    <row r="31" s="69" customFormat="1" ht="21.95" customHeight="1" spans="2:20">
      <c r="T31" s="103"/>
    </row>
  </sheetData>
  <mergeCells count="14">
    <mergeCell ref="A1:S1"/>
    <mergeCell ref="F2:H2"/>
    <mergeCell ref="L2:R2"/>
    <mergeCell ref="B17:O17"/>
    <mergeCell ref="A2:A3"/>
    <mergeCell ref="B2:B3"/>
    <mergeCell ref="C2:C3"/>
    <mergeCell ref="D2:D3"/>
    <mergeCell ref="E2:E3"/>
    <mergeCell ref="I2:I3"/>
    <mergeCell ref="J2:J3"/>
    <mergeCell ref="K2:K3"/>
    <mergeCell ref="S2:S3"/>
    <mergeCell ref="T2:T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L21" sqref="L21"/>
    </sheetView>
  </sheetViews>
  <sheetFormatPr defaultColWidth="9" defaultRowHeight="13.8"/>
  <cols>
    <col min="1" max="1" width="5.25" style="65" customWidth="1"/>
    <col min="2" max="2" width="10.25" style="65" customWidth="1"/>
    <col min="3" max="5" width="9" style="65" customWidth="1"/>
    <col min="6" max="6" width="9.125" style="65" customWidth="1"/>
    <col min="7" max="7" width="7.25" style="70" customWidth="1"/>
    <col min="8" max="8" width="9.625" style="70" customWidth="1"/>
    <col min="9" max="9" width="11.5" style="70" customWidth="1"/>
    <col min="10" max="10" width="9" style="70" customWidth="1"/>
    <col min="11" max="11" width="10.125" style="70" customWidth="1"/>
    <col min="12" max="12" width="8" style="70" customWidth="1"/>
    <col min="13" max="13" width="7.25" style="70" customWidth="1"/>
    <col min="14" max="14" width="7.125" style="70" customWidth="1"/>
    <col min="15" max="15" width="8" style="70" customWidth="1"/>
    <col min="16" max="16" width="8.375" style="70" customWidth="1"/>
    <col min="17" max="17" width="6.5" style="70" customWidth="1"/>
    <col min="18" max="18" width="11.375" style="70" customWidth="1"/>
    <col min="19" max="19" width="10.875" style="70" customWidth="1"/>
    <col min="20" max="20" width="10.5" style="70" customWidth="1"/>
    <col min="21" max="16384" width="9" style="65"/>
  </cols>
  <sheetData>
    <row r="1" s="65" customFormat="1" ht="27" customHeight="1" spans="1:20">
      <c r="A1" s="71" t="s">
        <v>218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0"/>
    </row>
    <row r="2" s="66" customFormat="1" ht="27" customHeight="1" spans="1:20">
      <c r="A2" s="72" t="s">
        <v>1</v>
      </c>
      <c r="B2" s="73" t="s">
        <v>211</v>
      </c>
      <c r="C2" s="73" t="s">
        <v>173</v>
      </c>
      <c r="D2" s="73" t="s">
        <v>219</v>
      </c>
      <c r="E2" s="74" t="s">
        <v>220</v>
      </c>
      <c r="F2" s="75" t="s">
        <v>176</v>
      </c>
      <c r="G2" s="76"/>
      <c r="H2" s="77"/>
      <c r="I2" s="78" t="s">
        <v>177</v>
      </c>
      <c r="J2" s="78" t="s">
        <v>178</v>
      </c>
      <c r="K2" s="73" t="s">
        <v>214</v>
      </c>
      <c r="L2" s="79" t="s">
        <v>180</v>
      </c>
      <c r="M2" s="76"/>
      <c r="N2" s="76"/>
      <c r="O2" s="76"/>
      <c r="P2" s="76"/>
      <c r="Q2" s="76"/>
      <c r="R2" s="80"/>
      <c r="S2" s="78" t="s">
        <v>181</v>
      </c>
      <c r="T2" s="78" t="s">
        <v>182</v>
      </c>
    </row>
    <row r="3" s="67" customFormat="1" ht="39" customHeight="1" spans="1:20">
      <c r="A3" s="72"/>
      <c r="B3" s="73"/>
      <c r="C3" s="73"/>
      <c r="D3" s="73"/>
      <c r="E3" s="81"/>
      <c r="F3" s="82" t="s">
        <v>134</v>
      </c>
      <c r="G3" s="73" t="s">
        <v>197</v>
      </c>
      <c r="H3" s="83" t="s">
        <v>216</v>
      </c>
      <c r="I3" s="78"/>
      <c r="J3" s="78"/>
      <c r="K3" s="73"/>
      <c r="L3" s="73" t="s">
        <v>199</v>
      </c>
      <c r="M3" s="13" t="s">
        <v>132</v>
      </c>
      <c r="N3" s="73" t="s">
        <v>201</v>
      </c>
      <c r="O3" s="13" t="s">
        <v>133</v>
      </c>
      <c r="P3" s="73" t="s">
        <v>202</v>
      </c>
      <c r="Q3" s="13" t="s">
        <v>134</v>
      </c>
      <c r="R3" s="13" t="s">
        <v>217</v>
      </c>
      <c r="S3" s="84"/>
      <c r="T3" s="84"/>
    </row>
    <row r="4" s="68" customFormat="1" ht="21.95" customHeight="1" spans="1:20">
      <c r="A4" s="8" t="s">
        <v>36</v>
      </c>
      <c r="B4" s="8">
        <v>390606</v>
      </c>
      <c r="C4" s="8">
        <v>39304</v>
      </c>
      <c r="D4" s="8">
        <v>159476</v>
      </c>
      <c r="E4" s="8">
        <v>24351</v>
      </c>
      <c r="F4" s="8">
        <v>7842</v>
      </c>
      <c r="G4" s="85">
        <v>10</v>
      </c>
      <c r="H4" s="85">
        <f t="shared" ref="H4:H15" si="0">F4+G4</f>
        <v>7852</v>
      </c>
      <c r="I4" s="86">
        <f>H4/SUM(B4:E4)</f>
        <v>0.0127937536762489</v>
      </c>
      <c r="J4" s="86">
        <f t="shared" ref="J4:J15" si="1">H4/SUM(B4:E4)</f>
        <v>0.0127937536762489</v>
      </c>
      <c r="K4" s="85">
        <v>187392</v>
      </c>
      <c r="L4" s="85">
        <v>22364</v>
      </c>
      <c r="M4" s="8">
        <v>658</v>
      </c>
      <c r="N4" s="8">
        <v>866</v>
      </c>
      <c r="O4" s="8">
        <v>423</v>
      </c>
      <c r="P4" s="8">
        <v>2599</v>
      </c>
      <c r="Q4" s="8">
        <v>875</v>
      </c>
      <c r="R4" s="8">
        <f t="shared" ref="R4:R15" si="2">M4+O4+Q4</f>
        <v>1956</v>
      </c>
      <c r="S4" s="87">
        <f t="shared" ref="S4:S15" si="3">R4/(K4+L4+N4+P4)</f>
        <v>0.00917358046346279</v>
      </c>
      <c r="T4" s="87">
        <f>R4/($K$4+SUM(L4,N4,P4))</f>
        <v>0.00917358046346279</v>
      </c>
    </row>
    <row r="5" s="68" customFormat="1" ht="21.95" customHeight="1" spans="1:20">
      <c r="A5" s="8" t="s">
        <v>37</v>
      </c>
      <c r="B5" s="8">
        <v>295271</v>
      </c>
      <c r="C5" s="8">
        <v>150811</v>
      </c>
      <c r="D5" s="8">
        <v>15542</v>
      </c>
      <c r="E5" s="8">
        <v>9464</v>
      </c>
      <c r="F5" s="8">
        <v>5062</v>
      </c>
      <c r="G5" s="8">
        <v>252</v>
      </c>
      <c r="H5" s="85">
        <f t="shared" si="0"/>
        <v>5314</v>
      </c>
      <c r="I5" s="86">
        <f>SUM($H$4:H5)/(($B$4)+SUM(C4:E5))</f>
        <v>0.0166752369058988</v>
      </c>
      <c r="J5" s="86">
        <f t="shared" si="1"/>
        <v>0.0112802703528852</v>
      </c>
      <c r="K5" s="85">
        <v>185209</v>
      </c>
      <c r="L5" s="85">
        <v>13138</v>
      </c>
      <c r="M5" s="8">
        <v>84</v>
      </c>
      <c r="N5" s="8">
        <v>0</v>
      </c>
      <c r="O5" s="8">
        <v>1437</v>
      </c>
      <c r="P5" s="8">
        <v>0</v>
      </c>
      <c r="Q5" s="8">
        <v>449</v>
      </c>
      <c r="R5" s="8">
        <f t="shared" si="2"/>
        <v>1970</v>
      </c>
      <c r="S5" s="87">
        <f t="shared" si="3"/>
        <v>0.00993208871321472</v>
      </c>
      <c r="T5" s="87">
        <f>SUM(R4:R5)/($K$4+SUM(L4:L5,N4:N5,P4:P5))</f>
        <v>0.0173441303416255</v>
      </c>
    </row>
    <row r="6" s="68" customFormat="1" ht="21.95" customHeight="1" spans="1:20">
      <c r="A6" s="8" t="s">
        <v>38</v>
      </c>
      <c r="B6" s="8">
        <v>430186</v>
      </c>
      <c r="C6" s="8">
        <v>82106</v>
      </c>
      <c r="D6" s="8">
        <v>17802</v>
      </c>
      <c r="E6" s="8">
        <v>7927</v>
      </c>
      <c r="F6" s="8">
        <v>3116</v>
      </c>
      <c r="G6" s="8">
        <v>371</v>
      </c>
      <c r="H6" s="85">
        <f t="shared" si="0"/>
        <v>3487</v>
      </c>
      <c r="I6" s="86">
        <f>SUM($H$4:H6)/(($B$4)+SUM(C4:E6))</f>
        <v>0.0185571697446704</v>
      </c>
      <c r="J6" s="86">
        <f t="shared" si="1"/>
        <v>0.0064811596573368</v>
      </c>
      <c r="K6" s="85">
        <v>205928</v>
      </c>
      <c r="L6" s="85">
        <v>30778</v>
      </c>
      <c r="M6" s="8">
        <v>551</v>
      </c>
      <c r="N6" s="8">
        <v>0</v>
      </c>
      <c r="O6" s="8">
        <v>486</v>
      </c>
      <c r="P6" s="8">
        <v>0</v>
      </c>
      <c r="Q6" s="8">
        <v>794</v>
      </c>
      <c r="R6" s="8">
        <f t="shared" si="2"/>
        <v>1831</v>
      </c>
      <c r="S6" s="87">
        <f t="shared" si="3"/>
        <v>0.00773533412756753</v>
      </c>
      <c r="T6" s="87">
        <f>SUM(R4:R6)/($K$4+SUM(L4:L6,N4:N6,P4:P6))</f>
        <v>0.0223888433014308</v>
      </c>
    </row>
    <row r="7" s="68" customFormat="1" ht="21.95" customHeight="1" spans="1:20">
      <c r="A7" s="8" t="s">
        <v>39</v>
      </c>
      <c r="B7" s="8">
        <v>492576</v>
      </c>
      <c r="C7" s="8">
        <v>44613</v>
      </c>
      <c r="D7" s="8">
        <v>33498</v>
      </c>
      <c r="E7" s="8">
        <v>11359</v>
      </c>
      <c r="F7" s="8">
        <v>3453</v>
      </c>
      <c r="G7" s="8">
        <v>0</v>
      </c>
      <c r="H7" s="85">
        <f t="shared" si="0"/>
        <v>3453</v>
      </c>
      <c r="I7" s="86">
        <f>SUM($H$4:H7)/(($B$4)+SUM(C4:E7))</f>
        <v>0.0203737312017218</v>
      </c>
      <c r="J7" s="86">
        <f t="shared" si="1"/>
        <v>0.0059325207973253</v>
      </c>
      <c r="K7" s="85">
        <v>256409</v>
      </c>
      <c r="L7" s="85">
        <v>39904</v>
      </c>
      <c r="M7" s="8">
        <f>1346+288</f>
        <v>1634</v>
      </c>
      <c r="N7" s="8">
        <v>24509</v>
      </c>
      <c r="O7" s="8">
        <v>394</v>
      </c>
      <c r="P7" s="8">
        <v>1568</v>
      </c>
      <c r="Q7" s="8">
        <v>798</v>
      </c>
      <c r="R7" s="8">
        <f t="shared" si="2"/>
        <v>2826</v>
      </c>
      <c r="S7" s="87">
        <f t="shared" si="3"/>
        <v>0.0087657805763206</v>
      </c>
      <c r="T7" s="87">
        <f>SUM(R4:R7)/($K$4+SUM(L4:L7,N4:N7,P4:P7))</f>
        <v>0.0265630512691958</v>
      </c>
    </row>
    <row r="8" s="68" customFormat="1" ht="21.95" customHeight="1" spans="1:20">
      <c r="A8" s="8" t="s">
        <v>40</v>
      </c>
      <c r="B8" s="8">
        <v>503342</v>
      </c>
      <c r="C8" s="8">
        <v>7049</v>
      </c>
      <c r="D8" s="8">
        <v>25547</v>
      </c>
      <c r="E8" s="8">
        <v>14835</v>
      </c>
      <c r="F8" s="8">
        <v>4791</v>
      </c>
      <c r="G8" s="8">
        <v>0</v>
      </c>
      <c r="H8" s="85">
        <f t="shared" si="0"/>
        <v>4791</v>
      </c>
      <c r="I8" s="86">
        <f>SUM($H$4:H8)/(($B$4)+SUM(C4:E8))</f>
        <v>0.0240715853387348</v>
      </c>
      <c r="J8" s="86">
        <f t="shared" si="1"/>
        <v>0.00869868348666329</v>
      </c>
      <c r="K8" s="85">
        <v>227572</v>
      </c>
      <c r="L8" s="85">
        <v>595</v>
      </c>
      <c r="M8" s="8">
        <v>0</v>
      </c>
      <c r="N8" s="8">
        <v>3024</v>
      </c>
      <c r="O8" s="8">
        <v>0</v>
      </c>
      <c r="P8" s="8">
        <v>0</v>
      </c>
      <c r="Q8" s="8">
        <v>717</v>
      </c>
      <c r="R8" s="8">
        <f t="shared" si="2"/>
        <v>717</v>
      </c>
      <c r="S8" s="87">
        <f t="shared" si="3"/>
        <v>0.00310133179924824</v>
      </c>
      <c r="T8" s="87">
        <f>SUM(R4:R8)/($K$4+SUM(L4:L8,N4:N8,P4:P8))</f>
        <v>0.0284632594410795</v>
      </c>
    </row>
    <row r="9" s="68" customFormat="1" ht="21.95" customHeight="1" spans="1:20">
      <c r="A9" s="8" t="s">
        <v>158</v>
      </c>
      <c r="B9" s="8">
        <v>497008</v>
      </c>
      <c r="C9" s="8">
        <v>23424</v>
      </c>
      <c r="D9" s="8">
        <v>23001</v>
      </c>
      <c r="E9" s="8">
        <v>9484</v>
      </c>
      <c r="F9" s="8">
        <f>10635-211</f>
        <v>10424</v>
      </c>
      <c r="G9" s="8">
        <v>211</v>
      </c>
      <c r="H9" s="85">
        <f t="shared" si="0"/>
        <v>10635</v>
      </c>
      <c r="I9" s="86">
        <f>SUM($H$4:H9)/(($B$4)+SUM(C4:E9))</f>
        <v>0.0325922148158272</v>
      </c>
      <c r="J9" s="86">
        <f t="shared" si="1"/>
        <v>0.0192343516296298</v>
      </c>
      <c r="K9" s="85">
        <v>254823</v>
      </c>
      <c r="L9" s="85">
        <v>32343</v>
      </c>
      <c r="M9" s="8">
        <f>491</f>
        <v>491</v>
      </c>
      <c r="N9" s="8">
        <v>0</v>
      </c>
      <c r="O9" s="8">
        <f>222</f>
        <v>222</v>
      </c>
      <c r="P9" s="8">
        <v>0</v>
      </c>
      <c r="Q9" s="8">
        <f>707</f>
        <v>707</v>
      </c>
      <c r="R9" s="8">
        <f t="shared" si="2"/>
        <v>1420</v>
      </c>
      <c r="S9" s="87">
        <f t="shared" si="3"/>
        <v>0.00494487508966939</v>
      </c>
      <c r="T9" s="87">
        <f>SUM(R4:R9)/($K$4+SUM(L4:L9,N4:N9,P4:P9))</f>
        <v>0.0298540715160967</v>
      </c>
    </row>
    <row r="10" s="68" customFormat="1" ht="21.95" customHeight="1" spans="1:20">
      <c r="A10" s="8" t="s">
        <v>159</v>
      </c>
      <c r="B10" s="8">
        <v>482446</v>
      </c>
      <c r="C10" s="8">
        <v>0</v>
      </c>
      <c r="D10" s="8">
        <v>27202</v>
      </c>
      <c r="E10" s="8">
        <v>7694</v>
      </c>
      <c r="F10" s="8">
        <v>7048</v>
      </c>
      <c r="G10" s="8">
        <v>297</v>
      </c>
      <c r="H10" s="85">
        <f t="shared" si="0"/>
        <v>7345</v>
      </c>
      <c r="I10" s="86">
        <f>SUM($H$4:H10)/(($B$4)+SUM(C4:E10))</f>
        <v>0.0381096707389154</v>
      </c>
      <c r="J10" s="86">
        <f t="shared" si="1"/>
        <v>0.0141975714324373</v>
      </c>
      <c r="K10" s="85">
        <v>229728</v>
      </c>
      <c r="L10" s="85">
        <v>3730</v>
      </c>
      <c r="M10" s="8">
        <v>0</v>
      </c>
      <c r="N10" s="8">
        <v>1691</v>
      </c>
      <c r="O10" s="8">
        <v>132</v>
      </c>
      <c r="P10" s="8">
        <v>0</v>
      </c>
      <c r="Q10" s="8">
        <v>1035</v>
      </c>
      <c r="R10" s="8">
        <f t="shared" si="2"/>
        <v>1167</v>
      </c>
      <c r="S10" s="87">
        <f t="shared" si="3"/>
        <v>0.00496281081356927</v>
      </c>
      <c r="T10" s="87">
        <f>SUM(R4:R10)/($K$4+SUM(L4:L10,N4:N10,P4:P10))</f>
        <v>0.0326117075124622</v>
      </c>
    </row>
    <row r="11" s="68" customFormat="1" ht="21.95" customHeight="1" spans="1:20">
      <c r="A11" s="8" t="s">
        <v>160</v>
      </c>
      <c r="B11" s="8">
        <v>470323</v>
      </c>
      <c r="C11" s="8">
        <v>61967</v>
      </c>
      <c r="D11" s="8">
        <v>46838</v>
      </c>
      <c r="E11" s="8">
        <v>15208</v>
      </c>
      <c r="F11" s="8">
        <v>5448</v>
      </c>
      <c r="G11" s="8">
        <v>436</v>
      </c>
      <c r="H11" s="85">
        <f t="shared" si="0"/>
        <v>5884</v>
      </c>
      <c r="I11" s="86">
        <f>SUM($H$4:H11)/(($B$4)+SUM(C4:E11))</f>
        <v>0.0390366565581199</v>
      </c>
      <c r="J11" s="86">
        <f t="shared" si="1"/>
        <v>0.00990012383567544</v>
      </c>
      <c r="K11" s="85">
        <v>216706</v>
      </c>
      <c r="L11" s="85">
        <v>12984</v>
      </c>
      <c r="M11" s="8">
        <v>118</v>
      </c>
      <c r="N11" s="8">
        <v>0</v>
      </c>
      <c r="O11" s="8">
        <v>136</v>
      </c>
      <c r="P11" s="8">
        <v>0</v>
      </c>
      <c r="Q11" s="8">
        <v>867</v>
      </c>
      <c r="R11" s="8">
        <f t="shared" si="2"/>
        <v>1121</v>
      </c>
      <c r="S11" s="87">
        <f t="shared" si="3"/>
        <v>0.00488049109669555</v>
      </c>
      <c r="T11" s="87">
        <f>SUM(R4:R11)/($K$4+SUM(L4:L11,N4:N11,P4:P11))</f>
        <v>0.0344596474032081</v>
      </c>
    </row>
    <row r="12" s="68" customFormat="1" ht="21.95" customHeight="1" spans="1:20">
      <c r="A12" s="8" t="s">
        <v>161</v>
      </c>
      <c r="B12" s="8">
        <v>490739</v>
      </c>
      <c r="C12" s="8">
        <v>0</v>
      </c>
      <c r="D12" s="8">
        <v>44842</v>
      </c>
      <c r="E12" s="8">
        <v>20942</v>
      </c>
      <c r="F12" s="8">
        <v>4597</v>
      </c>
      <c r="G12" s="8">
        <v>0</v>
      </c>
      <c r="H12" s="85">
        <f t="shared" si="0"/>
        <v>4597</v>
      </c>
      <c r="I12" s="86">
        <f>SUM($H$4:H12)/(($B$4)+SUM(C4:E12))</f>
        <v>0.0405797586417744</v>
      </c>
      <c r="J12" s="86">
        <f t="shared" si="1"/>
        <v>0.00826021566044889</v>
      </c>
      <c r="K12" s="85">
        <v>223199</v>
      </c>
      <c r="L12" s="85">
        <v>40981</v>
      </c>
      <c r="M12" s="8">
        <v>246</v>
      </c>
      <c r="N12" s="8">
        <v>0</v>
      </c>
      <c r="O12" s="8">
        <v>347</v>
      </c>
      <c r="P12" s="8">
        <v>0</v>
      </c>
      <c r="Q12" s="8">
        <v>611</v>
      </c>
      <c r="R12" s="8">
        <f t="shared" si="2"/>
        <v>1204</v>
      </c>
      <c r="S12" s="87">
        <f t="shared" si="3"/>
        <v>0.00455749867514573</v>
      </c>
      <c r="T12" s="87">
        <f>SUM(R4:R12)/($K$4+SUM(L4:L12,N4:N12,P4:P12))</f>
        <v>0.0339621379036768</v>
      </c>
    </row>
    <row r="13" s="68" customFormat="1" ht="21.95" customHeight="1" spans="1:20">
      <c r="A13" s="8" t="s">
        <v>162</v>
      </c>
      <c r="B13" s="8">
        <v>454968</v>
      </c>
      <c r="C13" s="8">
        <v>2746</v>
      </c>
      <c r="D13" s="8">
        <v>23340</v>
      </c>
      <c r="E13" s="8">
        <v>15581</v>
      </c>
      <c r="F13" s="8">
        <v>3695</v>
      </c>
      <c r="G13" s="8">
        <v>601</v>
      </c>
      <c r="H13" s="85">
        <f t="shared" si="0"/>
        <v>4296</v>
      </c>
      <c r="I13" s="86">
        <f>SUM($H$4:H13)/(($B$4)+SUM(C4:E13))</f>
        <v>0.0425001787611154</v>
      </c>
      <c r="J13" s="86">
        <f t="shared" si="1"/>
        <v>0.00865021595336615</v>
      </c>
      <c r="K13" s="85">
        <v>243916</v>
      </c>
      <c r="L13" s="85">
        <v>59930</v>
      </c>
      <c r="M13" s="8">
        <v>141</v>
      </c>
      <c r="N13" s="8">
        <v>22907</v>
      </c>
      <c r="O13" s="8">
        <v>377</v>
      </c>
      <c r="P13" s="8">
        <v>0</v>
      </c>
      <c r="Q13" s="8">
        <v>753</v>
      </c>
      <c r="R13" s="8">
        <f t="shared" si="2"/>
        <v>1271</v>
      </c>
      <c r="S13" s="87">
        <f t="shared" si="3"/>
        <v>0.00388978831104841</v>
      </c>
      <c r="T13" s="87">
        <f>SUM(R4:R13)/($K$4+SUM(L4:L13,N4:N13,P4:P13))</f>
        <v>0.0308855123548034</v>
      </c>
    </row>
    <row r="14" s="68" customFormat="1" ht="21.95" customHeight="1" spans="1:20">
      <c r="A14" s="8" t="s">
        <v>163</v>
      </c>
      <c r="B14" s="8">
        <v>476658</v>
      </c>
      <c r="C14" s="8">
        <v>8029</v>
      </c>
      <c r="D14" s="8">
        <v>35532</v>
      </c>
      <c r="E14" s="8">
        <v>18134</v>
      </c>
      <c r="F14" s="8">
        <v>3128</v>
      </c>
      <c r="G14" s="8">
        <v>295</v>
      </c>
      <c r="H14" s="85">
        <f t="shared" si="0"/>
        <v>3423</v>
      </c>
      <c r="I14" s="86">
        <f>SUM($H$4:H14)/(($B$4)+SUM(C4:E14))</f>
        <v>0.0430649234904326</v>
      </c>
      <c r="J14" s="86">
        <f t="shared" si="1"/>
        <v>0.00635828164791503</v>
      </c>
      <c r="K14" s="85">
        <v>245180</v>
      </c>
      <c r="L14" s="85">
        <v>21531</v>
      </c>
      <c r="M14" s="8">
        <v>0</v>
      </c>
      <c r="N14" s="8">
        <v>3788</v>
      </c>
      <c r="O14" s="8">
        <v>471</v>
      </c>
      <c r="P14" s="8">
        <v>0</v>
      </c>
      <c r="Q14" s="8">
        <v>970</v>
      </c>
      <c r="R14" s="8">
        <f t="shared" si="2"/>
        <v>1441</v>
      </c>
      <c r="S14" s="87">
        <f t="shared" si="3"/>
        <v>0.00532719159775082</v>
      </c>
      <c r="T14" s="87">
        <f>SUM(R4:R14)/($K$4+SUM(L4:L14,N4:N14,P4:P14))</f>
        <v>0.0321369027499801</v>
      </c>
    </row>
    <row r="15" s="68" customFormat="1" ht="21.95" customHeight="1" spans="1:20">
      <c r="A15" s="8" t="s">
        <v>164</v>
      </c>
      <c r="B15" s="8">
        <v>451435</v>
      </c>
      <c r="C15" s="8">
        <v>36252</v>
      </c>
      <c r="D15" s="8">
        <v>48427</v>
      </c>
      <c r="E15" s="8">
        <v>23144</v>
      </c>
      <c r="F15" s="8">
        <v>3058</v>
      </c>
      <c r="G15" s="8">
        <v>152</v>
      </c>
      <c r="H15" s="85">
        <f t="shared" si="0"/>
        <v>3210</v>
      </c>
      <c r="I15" s="86">
        <f>SUM($H$4:H15)/(($B$4)+SUM(C4:E15))</f>
        <v>0.0421256594523081</v>
      </c>
      <c r="J15" s="86">
        <f t="shared" si="1"/>
        <v>0.00573974802327369</v>
      </c>
      <c r="K15" s="85">
        <v>270329</v>
      </c>
      <c r="L15" s="85">
        <v>0</v>
      </c>
      <c r="M15" s="8">
        <v>0</v>
      </c>
      <c r="N15" s="8">
        <v>44988</v>
      </c>
      <c r="O15" s="8">
        <v>305</v>
      </c>
      <c r="P15" s="8">
        <v>0</v>
      </c>
      <c r="Q15" s="8">
        <v>481</v>
      </c>
      <c r="R15" s="8">
        <f t="shared" si="2"/>
        <v>786</v>
      </c>
      <c r="S15" s="87">
        <f t="shared" si="3"/>
        <v>0.00249272953884504</v>
      </c>
      <c r="T15" s="87">
        <f>SUM(R4:R15)/($K$4+SUM(L4:L15,N4:N15,P4:P15))</f>
        <v>0.0309826630044961</v>
      </c>
    </row>
    <row r="16" s="68" customFormat="1" ht="27" customHeight="1" spans="1:20">
      <c r="A16" s="17" t="s">
        <v>82</v>
      </c>
      <c r="B16" s="17">
        <f t="shared" ref="B16:H16" si="4">SUM(B4:B15)</f>
        <v>5435558</v>
      </c>
      <c r="C16" s="17">
        <f t="shared" si="4"/>
        <v>456301</v>
      </c>
      <c r="D16" s="17">
        <f t="shared" si="4"/>
        <v>501047</v>
      </c>
      <c r="E16" s="17">
        <f t="shared" si="4"/>
        <v>178123</v>
      </c>
      <c r="F16" s="17">
        <f t="shared" si="4"/>
        <v>61662</v>
      </c>
      <c r="G16" s="17">
        <f t="shared" si="4"/>
        <v>2625</v>
      </c>
      <c r="H16" s="17">
        <f t="shared" si="4"/>
        <v>64287</v>
      </c>
      <c r="I16" s="88">
        <f>H16/(B4+C16+D16+E16)</f>
        <v>0.0421256594523081</v>
      </c>
      <c r="J16" s="88"/>
      <c r="K16" s="17">
        <f t="shared" ref="K16:R16" si="5">SUM(K4:K15)</f>
        <v>2746391</v>
      </c>
      <c r="L16" s="17">
        <f t="shared" si="5"/>
        <v>278278</v>
      </c>
      <c r="M16" s="17">
        <f t="shared" si="5"/>
        <v>3923</v>
      </c>
      <c r="N16" s="17">
        <f t="shared" si="5"/>
        <v>101773</v>
      </c>
      <c r="O16" s="17">
        <f t="shared" si="5"/>
        <v>4730</v>
      </c>
      <c r="P16" s="17">
        <f t="shared" si="5"/>
        <v>4167</v>
      </c>
      <c r="Q16" s="17">
        <f t="shared" si="5"/>
        <v>9057</v>
      </c>
      <c r="R16" s="17">
        <f t="shared" si="5"/>
        <v>17710</v>
      </c>
      <c r="S16" s="89">
        <f>R16/(K4+L16+N16+P16)</f>
        <v>0.0309826630044961</v>
      </c>
      <c r="T16" s="89"/>
    </row>
    <row r="17" s="69" customFormat="1" ht="21.95" customHeight="1" spans="2:17">
      <c r="B17" s="90"/>
      <c r="C17" s="91"/>
      <c r="D17" s="91"/>
      <c r="E17" s="91"/>
      <c r="F17" s="91"/>
      <c r="G17" s="91"/>
      <c r="H17" s="91"/>
      <c r="Q17" s="92" t="s">
        <v>207</v>
      </c>
    </row>
    <row r="18" s="69" customFormat="1" ht="21.95" customHeight="1"/>
    <row r="19" s="69" customFormat="1" ht="21.95" customHeight="1" spans="2:17">
      <c r="F19" s="93">
        <f>H16+R16</f>
        <v>81997</v>
      </c>
    </row>
    <row r="20" s="69" customFormat="1" ht="21.95" customHeight="1" spans="2:17">
      <c r="F20" s="69">
        <f>B4+SUM(C16:E16)+K4+SUM(L16,N16,P16)</f>
        <v>2097687</v>
      </c>
    </row>
    <row r="21" s="69" customFormat="1" ht="21.95" customHeight="1" spans="2:17">
      <c r="E21" s="94">
        <f>F19/F20</f>
        <v>0.0390892444869039</v>
      </c>
    </row>
    <row r="22" s="69" customFormat="1" ht="21.95" customHeight="1"/>
    <row r="23" s="69" customFormat="1" ht="21.95" customHeight="1"/>
    <row r="24" s="69" customFormat="1" ht="21.95" customHeight="1"/>
    <row r="25" s="69" customFormat="1" ht="21.95" customHeight="1"/>
    <row r="26" s="69" customFormat="1" ht="21.95" customHeight="1"/>
    <row r="27" s="69" customFormat="1" ht="21.95" customHeight="1"/>
    <row r="28" s="69" customFormat="1" ht="21.95" customHeight="1"/>
    <row r="29" s="69" customFormat="1" ht="21.95" customHeight="1"/>
    <row r="30" s="69" customFormat="1" ht="21.95" customHeight="1"/>
    <row r="31" s="69" customFormat="1" ht="21.95" customHeight="1"/>
  </sheetData>
  <mergeCells count="14">
    <mergeCell ref="A1:S1"/>
    <mergeCell ref="F2:H2"/>
    <mergeCell ref="L2:R2"/>
    <mergeCell ref="B17:H17"/>
    <mergeCell ref="A2:A3"/>
    <mergeCell ref="B2:B3"/>
    <mergeCell ref="C2:C3"/>
    <mergeCell ref="D2:D3"/>
    <mergeCell ref="E2:E3"/>
    <mergeCell ref="I2:I3"/>
    <mergeCell ref="J2:J3"/>
    <mergeCell ref="K2:K3"/>
    <mergeCell ref="S2:S3"/>
    <mergeCell ref="T2:T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M17" sqref="M17"/>
    </sheetView>
  </sheetViews>
  <sheetFormatPr defaultColWidth="9" defaultRowHeight="15.6"/>
  <cols>
    <col min="1" max="1" width="9.25" style="27" customWidth="1"/>
    <col min="2" max="2" width="7.75" style="27" customWidth="1"/>
    <col min="3" max="3" width="10.375" style="27" customWidth="1"/>
    <col min="4" max="4" width="6.375" style="27" customWidth="1"/>
    <col min="5" max="5" width="8.125" style="27" customWidth="1"/>
    <col min="6" max="6" width="6.375" style="27" customWidth="1"/>
    <col min="7" max="7" width="7.875" style="27" customWidth="1"/>
    <col min="8" max="8" width="6.625" style="27" customWidth="1"/>
    <col min="9" max="9" width="8" style="27" customWidth="1"/>
    <col min="10" max="10" width="7.5" style="27" customWidth="1"/>
    <col min="11" max="11" width="11.375" style="27" customWidth="1"/>
    <col min="12" max="12" width="8.125" style="27" customWidth="1"/>
    <col min="13" max="13" width="11" style="27" customWidth="1"/>
    <col min="14" max="15" width="9.375" style="27" customWidth="1"/>
    <col min="16" max="16" width="8.875" style="28" customWidth="1"/>
    <col min="17" max="17" width="8.875" style="27" customWidth="1"/>
    <col min="18" max="18" width="10.75" style="27" customWidth="1"/>
    <col min="19" max="20" width="8.875" style="28" customWidth="1"/>
  </cols>
  <sheetData>
    <row r="1" ht="30" customHeight="1" spans="1:20">
      <c r="A1" s="29" t="s">
        <v>165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29"/>
      <c r="R1" s="29"/>
      <c r="S1" s="30"/>
      <c r="T1" s="30"/>
    </row>
    <row r="2" s="24" customFormat="1" ht="27" customHeight="1" spans="1:20">
      <c r="A2" s="31" t="s">
        <v>1</v>
      </c>
      <c r="B2" s="32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 t="s">
        <v>3</v>
      </c>
      <c r="R2" s="33"/>
      <c r="S2" s="34"/>
      <c r="T2" s="35" t="s">
        <v>4</v>
      </c>
    </row>
    <row r="3" s="25" customFormat="1" ht="27" customHeight="1" spans="1:20">
      <c r="A3" s="36"/>
      <c r="B3" s="37" t="s">
        <v>11</v>
      </c>
      <c r="C3" s="38" t="s">
        <v>12</v>
      </c>
      <c r="D3" s="39" t="s">
        <v>13</v>
      </c>
      <c r="E3" s="39"/>
      <c r="F3" s="39"/>
      <c r="G3" s="39"/>
      <c r="H3" s="39"/>
      <c r="I3" s="39"/>
      <c r="J3" s="39"/>
      <c r="K3" s="39"/>
      <c r="L3" s="39"/>
      <c r="M3" s="39"/>
      <c r="N3" s="40" t="s">
        <v>14</v>
      </c>
      <c r="O3" s="40" t="s">
        <v>15</v>
      </c>
      <c r="P3" s="41" t="s">
        <v>16</v>
      </c>
      <c r="Q3" s="42" t="s">
        <v>17</v>
      </c>
      <c r="R3" s="43" t="s">
        <v>12</v>
      </c>
      <c r="S3" s="44" t="s">
        <v>19</v>
      </c>
      <c r="T3" s="45"/>
    </row>
    <row r="4" s="25" customFormat="1" ht="36" customHeight="1" spans="1:20">
      <c r="A4" s="46"/>
      <c r="B4" s="37"/>
      <c r="C4" s="38"/>
      <c r="D4" s="37" t="s">
        <v>30</v>
      </c>
      <c r="E4" s="38" t="s">
        <v>12</v>
      </c>
      <c r="F4" s="37" t="s">
        <v>31</v>
      </c>
      <c r="G4" s="38" t="s">
        <v>12</v>
      </c>
      <c r="H4" s="37" t="s">
        <v>32</v>
      </c>
      <c r="I4" s="38" t="s">
        <v>12</v>
      </c>
      <c r="J4" s="37" t="s">
        <v>33</v>
      </c>
      <c r="K4" s="38" t="s">
        <v>12</v>
      </c>
      <c r="L4" s="37" t="s">
        <v>156</v>
      </c>
      <c r="M4" s="38" t="s">
        <v>12</v>
      </c>
      <c r="N4" s="47"/>
      <c r="O4" s="47"/>
      <c r="P4" s="48"/>
      <c r="Q4" s="49"/>
      <c r="R4" s="50"/>
      <c r="S4" s="51"/>
      <c r="T4" s="45"/>
    </row>
    <row r="5" s="26" customFormat="1" ht="23" customHeight="1" spans="1:20">
      <c r="A5" s="52" t="s">
        <v>36</v>
      </c>
      <c r="B5" s="53">
        <v>69157</v>
      </c>
      <c r="C5" s="53">
        <v>1913341</v>
      </c>
      <c r="D5" s="53"/>
      <c r="E5" s="54"/>
      <c r="F5" s="53"/>
      <c r="G5" s="53"/>
      <c r="H5" s="53">
        <v>400</v>
      </c>
      <c r="I5" s="53">
        <v>7500</v>
      </c>
      <c r="J5" s="53"/>
      <c r="K5" s="53"/>
      <c r="L5" s="53">
        <v>130548</v>
      </c>
      <c r="M5" s="55">
        <v>2854381.25</v>
      </c>
      <c r="N5" s="53">
        <f t="shared" ref="N5:N16" si="0">B5+D5+F5+H5+J5+L5</f>
        <v>200105</v>
      </c>
      <c r="O5" s="53">
        <f t="shared" ref="O5:O16" si="1">C5+E5+G5+I5+K5+M5</f>
        <v>4775222.25</v>
      </c>
      <c r="P5" s="56">
        <f t="shared" ref="P5:P17" si="2">(C5+K5+M5)/(B5+J5+L5)</f>
        <v>23.8738251420846</v>
      </c>
      <c r="Q5" s="53">
        <v>30279</v>
      </c>
      <c r="R5" s="53">
        <v>715123</v>
      </c>
      <c r="S5" s="57">
        <f t="shared" ref="S5:S17" si="3">R5/Q5</f>
        <v>23.6177879058093</v>
      </c>
      <c r="T5" s="58">
        <f t="shared" ref="T5:T17" si="4">(C5+K5+M5+R5)/(B5+J5+L5+Q5)</f>
        <v>23.8401160515514</v>
      </c>
    </row>
    <row r="6" s="26" customFormat="1" ht="23" customHeight="1" spans="1:20">
      <c r="A6" s="52" t="s">
        <v>37</v>
      </c>
      <c r="B6" s="53">
        <v>24025</v>
      </c>
      <c r="C6" s="53">
        <v>533529</v>
      </c>
      <c r="D6" s="53"/>
      <c r="E6" s="54"/>
      <c r="F6" s="53"/>
      <c r="G6" s="53"/>
      <c r="H6" s="53"/>
      <c r="I6" s="53"/>
      <c r="J6" s="53"/>
      <c r="K6" s="53"/>
      <c r="L6" s="53">
        <v>1320</v>
      </c>
      <c r="M6" s="54">
        <v>52769</v>
      </c>
      <c r="N6" s="53">
        <f t="shared" si="0"/>
        <v>25345</v>
      </c>
      <c r="O6" s="53">
        <f t="shared" si="1"/>
        <v>586298</v>
      </c>
      <c r="P6" s="56">
        <f t="shared" si="2"/>
        <v>23.1326888932728</v>
      </c>
      <c r="Q6" s="53">
        <v>20735</v>
      </c>
      <c r="R6" s="53">
        <v>438142</v>
      </c>
      <c r="S6" s="57">
        <f t="shared" si="3"/>
        <v>21.1305522064143</v>
      </c>
      <c r="T6" s="58">
        <f t="shared" si="4"/>
        <v>22.2317708333333</v>
      </c>
    </row>
    <row r="7" s="26" customFormat="1" ht="23" customHeight="1" spans="1:20">
      <c r="A7" s="52" t="s">
        <v>38</v>
      </c>
      <c r="B7" s="53">
        <f>42113-32020</f>
        <v>10093</v>
      </c>
      <c r="C7" s="53">
        <v>182605</v>
      </c>
      <c r="D7" s="53">
        <v>15480</v>
      </c>
      <c r="E7" s="54">
        <v>93192.7</v>
      </c>
      <c r="F7" s="53">
        <v>360</v>
      </c>
      <c r="G7" s="53">
        <v>1320</v>
      </c>
      <c r="H7" s="53">
        <f>720+168</f>
        <v>888</v>
      </c>
      <c r="I7" s="53">
        <v>7380</v>
      </c>
      <c r="J7" s="53">
        <v>32020</v>
      </c>
      <c r="K7" s="53">
        <v>798856</v>
      </c>
      <c r="L7" s="53">
        <v>0</v>
      </c>
      <c r="M7" s="54">
        <v>0</v>
      </c>
      <c r="N7" s="53">
        <f t="shared" si="0"/>
        <v>58841</v>
      </c>
      <c r="O7" s="53">
        <f t="shared" si="1"/>
        <v>1083353.7</v>
      </c>
      <c r="P7" s="56">
        <f t="shared" si="2"/>
        <v>23.3054163797402</v>
      </c>
      <c r="Q7" s="53">
        <v>10854</v>
      </c>
      <c r="R7" s="53">
        <v>165099</v>
      </c>
      <c r="S7" s="57">
        <f t="shared" si="3"/>
        <v>15.2108899944721</v>
      </c>
      <c r="T7" s="58">
        <f t="shared" si="4"/>
        <v>21.646685672211</v>
      </c>
    </row>
    <row r="8" s="26" customFormat="1" ht="23" customHeight="1" spans="1:20">
      <c r="A8" s="52" t="s">
        <v>39</v>
      </c>
      <c r="B8" s="53">
        <v>15916</v>
      </c>
      <c r="C8" s="53">
        <v>312086.5</v>
      </c>
      <c r="D8" s="53"/>
      <c r="E8" s="54"/>
      <c r="F8" s="53">
        <v>7002</v>
      </c>
      <c r="G8" s="53">
        <v>59517</v>
      </c>
      <c r="H8" s="53">
        <v>19302</v>
      </c>
      <c r="I8" s="53">
        <v>219486</v>
      </c>
      <c r="J8" s="53">
        <v>33636</v>
      </c>
      <c r="K8" s="53">
        <v>832924</v>
      </c>
      <c r="L8" s="53">
        <v>600</v>
      </c>
      <c r="M8" s="54">
        <v>16440</v>
      </c>
      <c r="N8" s="53">
        <f t="shared" si="0"/>
        <v>76456</v>
      </c>
      <c r="O8" s="53">
        <f t="shared" si="1"/>
        <v>1440453.5</v>
      </c>
      <c r="P8" s="56">
        <f t="shared" si="2"/>
        <v>23.1586078321901</v>
      </c>
      <c r="Q8" s="53">
        <v>12588</v>
      </c>
      <c r="R8" s="53">
        <v>186891</v>
      </c>
      <c r="S8" s="57">
        <f t="shared" si="3"/>
        <v>14.8467588179218</v>
      </c>
      <c r="T8" s="58">
        <f t="shared" si="4"/>
        <v>21.4909387950271</v>
      </c>
    </row>
    <row r="9" s="26" customFormat="1" ht="23" customHeight="1" spans="1:20">
      <c r="A9" s="52" t="s">
        <v>40</v>
      </c>
      <c r="B9" s="53">
        <v>15352</v>
      </c>
      <c r="C9" s="53">
        <v>254371</v>
      </c>
      <c r="D9" s="53"/>
      <c r="E9" s="54"/>
      <c r="F9" s="53"/>
      <c r="G9" s="53"/>
      <c r="H9" s="53">
        <v>660</v>
      </c>
      <c r="I9" s="53">
        <v>12540</v>
      </c>
      <c r="J9" s="53">
        <f>33984+16826</f>
        <v>50810</v>
      </c>
      <c r="K9" s="53">
        <v>1240509</v>
      </c>
      <c r="L9" s="53">
        <v>1034</v>
      </c>
      <c r="M9" s="54">
        <v>41545</v>
      </c>
      <c r="N9" s="53">
        <f t="shared" si="0"/>
        <v>67856</v>
      </c>
      <c r="O9" s="53">
        <f t="shared" si="1"/>
        <v>1548965</v>
      </c>
      <c r="P9" s="56">
        <f t="shared" si="2"/>
        <v>22.8648282635871</v>
      </c>
      <c r="Q9" s="53">
        <v>15897</v>
      </c>
      <c r="R9" s="53">
        <v>190386</v>
      </c>
      <c r="S9" s="57">
        <f t="shared" si="3"/>
        <v>11.9762219286658</v>
      </c>
      <c r="T9" s="58">
        <f t="shared" si="4"/>
        <v>20.7816663256833</v>
      </c>
    </row>
    <row r="10" s="26" customFormat="1" ht="23" customHeight="1" spans="1:20">
      <c r="A10" s="52" t="s">
        <v>158</v>
      </c>
      <c r="B10" s="53">
        <v>14125</v>
      </c>
      <c r="C10" s="53">
        <v>209629</v>
      </c>
      <c r="D10" s="53"/>
      <c r="E10" s="54"/>
      <c r="F10" s="53"/>
      <c r="G10" s="53"/>
      <c r="H10" s="53"/>
      <c r="I10" s="53"/>
      <c r="J10" s="53">
        <v>40516</v>
      </c>
      <c r="K10" s="53">
        <v>976062</v>
      </c>
      <c r="L10" s="53"/>
      <c r="M10" s="54"/>
      <c r="N10" s="53">
        <f t="shared" si="0"/>
        <v>54641</v>
      </c>
      <c r="O10" s="53">
        <f t="shared" si="1"/>
        <v>1185691</v>
      </c>
      <c r="P10" s="56">
        <f t="shared" si="2"/>
        <v>21.6996577661463</v>
      </c>
      <c r="Q10" s="53">
        <v>8410</v>
      </c>
      <c r="R10" s="53">
        <v>108106</v>
      </c>
      <c r="S10" s="57">
        <f t="shared" si="3"/>
        <v>12.8544589774078</v>
      </c>
      <c r="T10" s="58">
        <f t="shared" si="4"/>
        <v>20.519849011118</v>
      </c>
    </row>
    <row r="11" s="26" customFormat="1" ht="23" customHeight="1" spans="1:20">
      <c r="A11" s="52" t="s">
        <v>159</v>
      </c>
      <c r="B11" s="53">
        <v>12335</v>
      </c>
      <c r="C11" s="53">
        <v>191916</v>
      </c>
      <c r="D11" s="53"/>
      <c r="E11" s="54"/>
      <c r="F11" s="53"/>
      <c r="G11" s="53"/>
      <c r="H11" s="53"/>
      <c r="I11" s="53"/>
      <c r="J11" s="53">
        <v>37822</v>
      </c>
      <c r="K11" s="53">
        <f>820869+34284+972</f>
        <v>856125</v>
      </c>
      <c r="L11" s="53"/>
      <c r="M11" s="54"/>
      <c r="N11" s="53">
        <f t="shared" si="0"/>
        <v>50157</v>
      </c>
      <c r="O11" s="53">
        <f t="shared" si="1"/>
        <v>1048041</v>
      </c>
      <c r="P11" s="56">
        <f t="shared" si="2"/>
        <v>20.8952090436031</v>
      </c>
      <c r="Q11" s="53">
        <v>7769</v>
      </c>
      <c r="R11" s="53">
        <v>109402.1</v>
      </c>
      <c r="S11" s="57">
        <f t="shared" si="3"/>
        <v>14.0818766894066</v>
      </c>
      <c r="T11" s="58">
        <f t="shared" si="4"/>
        <v>19.9814090391189</v>
      </c>
    </row>
    <row r="12" s="26" customFormat="1" ht="23" customHeight="1" spans="1:20">
      <c r="A12" s="52" t="s">
        <v>160</v>
      </c>
      <c r="B12" s="53">
        <v>13888</v>
      </c>
      <c r="C12" s="53">
        <v>237251</v>
      </c>
      <c r="D12" s="53"/>
      <c r="E12" s="54"/>
      <c r="F12" s="53"/>
      <c r="G12" s="53"/>
      <c r="H12" s="53"/>
      <c r="I12" s="53"/>
      <c r="J12" s="53">
        <v>94200</v>
      </c>
      <c r="K12" s="56">
        <v>2201726.5</v>
      </c>
      <c r="L12" s="53"/>
      <c r="M12" s="54"/>
      <c r="N12" s="53">
        <f t="shared" si="0"/>
        <v>108088</v>
      </c>
      <c r="O12" s="53">
        <f t="shared" si="1"/>
        <v>2438977.5</v>
      </c>
      <c r="P12" s="56">
        <f t="shared" si="2"/>
        <v>22.5647389164385</v>
      </c>
      <c r="Q12" s="53">
        <v>11028</v>
      </c>
      <c r="R12" s="53">
        <v>140590</v>
      </c>
      <c r="S12" s="57">
        <f t="shared" si="3"/>
        <v>12.7484584693507</v>
      </c>
      <c r="T12" s="58">
        <f t="shared" si="4"/>
        <v>21.6559278350515</v>
      </c>
    </row>
    <row r="13" s="26" customFormat="1" ht="23" customHeight="1" spans="1:20">
      <c r="A13" s="52" t="s">
        <v>161</v>
      </c>
      <c r="B13" s="53">
        <v>12886</v>
      </c>
      <c r="C13" s="53">
        <v>236220</v>
      </c>
      <c r="D13" s="53"/>
      <c r="E13" s="54"/>
      <c r="F13" s="53"/>
      <c r="G13" s="53"/>
      <c r="H13" s="53"/>
      <c r="I13" s="53"/>
      <c r="J13" s="53">
        <v>54036</v>
      </c>
      <c r="K13" s="53">
        <v>1292695</v>
      </c>
      <c r="L13" s="53"/>
      <c r="M13" s="54"/>
      <c r="N13" s="53">
        <f t="shared" si="0"/>
        <v>66922</v>
      </c>
      <c r="O13" s="53">
        <f t="shared" si="1"/>
        <v>1528915</v>
      </c>
      <c r="P13" s="56">
        <f t="shared" si="2"/>
        <v>22.8462239622247</v>
      </c>
      <c r="Q13" s="53">
        <v>10016</v>
      </c>
      <c r="R13" s="53">
        <f>139870+90</f>
        <v>139960</v>
      </c>
      <c r="S13" s="57">
        <f t="shared" si="3"/>
        <v>13.973642172524</v>
      </c>
      <c r="T13" s="58">
        <f t="shared" si="4"/>
        <v>21.6911669136188</v>
      </c>
    </row>
    <row r="14" s="26" customFormat="1" ht="23" customHeight="1" spans="1:20">
      <c r="A14" s="52" t="s">
        <v>162</v>
      </c>
      <c r="B14" s="53">
        <v>17859</v>
      </c>
      <c r="C14" s="53">
        <v>344955</v>
      </c>
      <c r="D14" s="53"/>
      <c r="E14" s="54"/>
      <c r="F14" s="53"/>
      <c r="G14" s="53"/>
      <c r="H14" s="53"/>
      <c r="I14" s="53"/>
      <c r="J14" s="53">
        <v>5540</v>
      </c>
      <c r="K14" s="53">
        <v>130092</v>
      </c>
      <c r="L14" s="53">
        <v>20224</v>
      </c>
      <c r="M14" s="55">
        <v>558530</v>
      </c>
      <c r="N14" s="53">
        <f t="shared" si="0"/>
        <v>43623</v>
      </c>
      <c r="O14" s="53">
        <f t="shared" si="1"/>
        <v>1033577</v>
      </c>
      <c r="P14" s="56">
        <f t="shared" si="2"/>
        <v>23.6933956857621</v>
      </c>
      <c r="Q14" s="53">
        <v>10083</v>
      </c>
      <c r="R14" s="53">
        <v>151685</v>
      </c>
      <c r="S14" s="57">
        <f t="shared" si="3"/>
        <v>15.0436378062085</v>
      </c>
      <c r="T14" s="58">
        <f t="shared" si="4"/>
        <v>22.0694522027334</v>
      </c>
    </row>
    <row r="15" s="26" customFormat="1" ht="23" customHeight="1" spans="1:20">
      <c r="A15" s="52" t="s">
        <v>163</v>
      </c>
      <c r="B15" s="53">
        <v>23369</v>
      </c>
      <c r="C15" s="53">
        <v>433705</v>
      </c>
      <c r="D15" s="53"/>
      <c r="E15" s="54"/>
      <c r="F15" s="53"/>
      <c r="G15" s="53"/>
      <c r="H15" s="53"/>
      <c r="I15" s="53"/>
      <c r="J15" s="53">
        <v>61462</v>
      </c>
      <c r="K15" s="53">
        <v>1510314</v>
      </c>
      <c r="L15" s="53">
        <v>22227</v>
      </c>
      <c r="M15" s="54">
        <v>554905</v>
      </c>
      <c r="N15" s="53">
        <f t="shared" si="0"/>
        <v>107058</v>
      </c>
      <c r="O15" s="53">
        <f t="shared" si="1"/>
        <v>2498924</v>
      </c>
      <c r="P15" s="56">
        <f t="shared" si="2"/>
        <v>23.3417773543313</v>
      </c>
      <c r="Q15" s="53">
        <v>12193</v>
      </c>
      <c r="R15" s="53">
        <v>184394</v>
      </c>
      <c r="S15" s="57">
        <f t="shared" si="3"/>
        <v>15.1229393914541</v>
      </c>
      <c r="T15" s="58">
        <f t="shared" si="4"/>
        <v>22.5014297574025</v>
      </c>
    </row>
    <row r="16" s="26" customFormat="1" ht="23" customHeight="1" spans="1:20">
      <c r="A16" s="52" t="s">
        <v>164</v>
      </c>
      <c r="B16" s="53">
        <v>33271</v>
      </c>
      <c r="C16" s="53">
        <f>699829+612</f>
        <v>700441</v>
      </c>
      <c r="D16" s="53"/>
      <c r="E16" s="54"/>
      <c r="F16" s="53"/>
      <c r="G16" s="53"/>
      <c r="H16" s="53"/>
      <c r="I16" s="53"/>
      <c r="J16" s="53">
        <f>15262</f>
        <v>15262</v>
      </c>
      <c r="K16" s="53">
        <f>356234</f>
        <v>356234</v>
      </c>
      <c r="L16" s="53">
        <v>1328</v>
      </c>
      <c r="M16" s="55">
        <v>29936</v>
      </c>
      <c r="N16" s="53">
        <f t="shared" si="0"/>
        <v>49861</v>
      </c>
      <c r="O16" s="53">
        <f t="shared" si="1"/>
        <v>1086611</v>
      </c>
      <c r="P16" s="56">
        <f t="shared" si="2"/>
        <v>21.7928039951064</v>
      </c>
      <c r="Q16" s="53">
        <v>11656</v>
      </c>
      <c r="R16" s="53">
        <v>193940</v>
      </c>
      <c r="S16" s="57">
        <f t="shared" si="3"/>
        <v>16.6386410432395</v>
      </c>
      <c r="T16" s="58">
        <f t="shared" si="4"/>
        <v>20.8162134044248</v>
      </c>
    </row>
    <row r="17" s="26" customFormat="1" ht="29" customHeight="1" spans="1:20">
      <c r="A17" s="59" t="s">
        <v>43</v>
      </c>
      <c r="B17" s="60">
        <f t="shared" ref="B17:O17" si="5">SUM(B5:B16)</f>
        <v>262276</v>
      </c>
      <c r="C17" s="60">
        <f t="shared" si="5"/>
        <v>5550049.5</v>
      </c>
      <c r="D17" s="60">
        <f t="shared" si="5"/>
        <v>15480</v>
      </c>
      <c r="E17" s="61">
        <f t="shared" si="5"/>
        <v>93192.7</v>
      </c>
      <c r="F17" s="60">
        <f t="shared" si="5"/>
        <v>7362</v>
      </c>
      <c r="G17" s="60">
        <f t="shared" si="5"/>
        <v>60837</v>
      </c>
      <c r="H17" s="60">
        <f t="shared" si="5"/>
        <v>21250</v>
      </c>
      <c r="I17" s="60">
        <f t="shared" si="5"/>
        <v>246906</v>
      </c>
      <c r="J17" s="60">
        <f t="shared" si="5"/>
        <v>425304</v>
      </c>
      <c r="K17" s="60">
        <f t="shared" si="5"/>
        <v>10195537.5</v>
      </c>
      <c r="L17" s="60">
        <f t="shared" si="5"/>
        <v>177281</v>
      </c>
      <c r="M17" s="61">
        <f t="shared" si="5"/>
        <v>4108506.25</v>
      </c>
      <c r="N17" s="60">
        <f t="shared" si="5"/>
        <v>908953</v>
      </c>
      <c r="O17" s="60">
        <f t="shared" si="5"/>
        <v>20255028.95</v>
      </c>
      <c r="P17" s="62">
        <f t="shared" si="2"/>
        <v>22.9563979067156</v>
      </c>
      <c r="Q17" s="60">
        <f>SUM(Q5:Q16)</f>
        <v>161508</v>
      </c>
      <c r="R17" s="60">
        <f>SUM(R5:R16)</f>
        <v>2723718.1</v>
      </c>
      <c r="S17" s="63">
        <f t="shared" si="3"/>
        <v>16.8642921712856</v>
      </c>
      <c r="T17" s="64">
        <f t="shared" si="4"/>
        <v>21.9977526113903</v>
      </c>
    </row>
    <row r="19" customFormat="1" spans="1:2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 t="s">
        <v>166</v>
      </c>
      <c r="M19" s="27"/>
      <c r="N19" s="27"/>
      <c r="O19" s="27"/>
      <c r="P19" s="28"/>
      <c r="Q19" s="27"/>
      <c r="R19" s="27"/>
      <c r="S19" s="28"/>
      <c r="T19" s="28"/>
    </row>
    <row r="20" customFormat="1" spans="1: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>
        <v>104820.41</v>
      </c>
      <c r="M20" s="27"/>
      <c r="N20" s="27"/>
      <c r="O20" s="27"/>
      <c r="P20" s="28"/>
      <c r="Q20" s="27"/>
      <c r="R20" s="27"/>
      <c r="S20" s="28"/>
      <c r="T20" s="28"/>
    </row>
    <row r="21" customFormat="1" spans="1:20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 t="s">
        <v>164</v>
      </c>
      <c r="L21" s="27" t="s">
        <v>167</v>
      </c>
      <c r="M21" s="27">
        <v>26610</v>
      </c>
      <c r="N21" s="27"/>
      <c r="O21" s="27"/>
      <c r="P21" s="28"/>
      <c r="Q21" s="27"/>
      <c r="R21" s="27"/>
      <c r="S21" s="28"/>
      <c r="T21" s="28"/>
    </row>
  </sheetData>
  <mergeCells count="14">
    <mergeCell ref="A1:S1"/>
    <mergeCell ref="B2:P2"/>
    <mergeCell ref="Q2:S2"/>
    <mergeCell ref="D3:M3"/>
    <mergeCell ref="A2:A4"/>
    <mergeCell ref="B3:B4"/>
    <mergeCell ref="C3:C4"/>
    <mergeCell ref="N3:N4"/>
    <mergeCell ref="O3:O4"/>
    <mergeCell ref="P3:P4"/>
    <mergeCell ref="Q3:Q4"/>
    <mergeCell ref="R3:R4"/>
    <mergeCell ref="S3:S4"/>
    <mergeCell ref="T2:T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workbookViewId="0">
      <selection activeCell="F2" sqref="F2"/>
    </sheetView>
  </sheetViews>
  <sheetFormatPr defaultColWidth="9" defaultRowHeight="14.4"/>
  <cols>
    <col min="1" max="6" width="18.25" style="1" customWidth="1"/>
    <col min="7" max="7" width="9" style="1"/>
    <col min="8" max="8" width="14.5" style="1" customWidth="1"/>
    <col min="9" max="9" width="14.875" style="19"/>
    <col min="10" max="16384" width="9" style="1"/>
  </cols>
  <sheetData>
    <row r="1" s="1" customFormat="1" ht="46" customHeight="1" spans="1:22">
      <c r="A1" s="2" t="s">
        <v>221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1" customFormat="1" ht="33" customHeight="1" spans="1:22">
      <c r="A2" s="4" t="s">
        <v>1</v>
      </c>
      <c r="B2" s="5" t="s">
        <v>222</v>
      </c>
      <c r="C2" s="5" t="s">
        <v>223</v>
      </c>
      <c r="D2" s="6" t="s">
        <v>224</v>
      </c>
      <c r="E2" s="6" t="s">
        <v>225</v>
      </c>
      <c r="F2" s="6" t="s">
        <v>226</v>
      </c>
      <c r="G2" s="7" t="s">
        <v>227</v>
      </c>
      <c r="H2" s="7" t="s">
        <v>228</v>
      </c>
      <c r="I2" s="4" t="s">
        <v>229</v>
      </c>
    </row>
    <row r="3" s="1" customFormat="1" ht="33" customHeight="1" spans="1:22">
      <c r="A3" s="8" t="s">
        <v>36</v>
      </c>
      <c r="B3" s="9">
        <v>338944</v>
      </c>
      <c r="C3" s="9">
        <v>147789</v>
      </c>
      <c r="D3" s="10"/>
      <c r="E3" s="10"/>
      <c r="F3" s="10">
        <v>623</v>
      </c>
      <c r="G3" s="11"/>
      <c r="H3" s="9">
        <v>162541</v>
      </c>
      <c r="I3" s="9" t="e">
        <f>B3+C3+H3/G3</f>
        <v>#DIV/0!</v>
      </c>
    </row>
    <row r="4" s="1" customFormat="1" ht="33" customHeight="1" spans="1:22">
      <c r="A4" s="8" t="s">
        <v>37</v>
      </c>
      <c r="B4" s="9">
        <v>359547</v>
      </c>
      <c r="C4" s="9">
        <v>72890</v>
      </c>
      <c r="D4" s="10"/>
      <c r="E4" s="10"/>
      <c r="F4" s="10">
        <v>3407</v>
      </c>
      <c r="G4" s="13">
        <v>32377</v>
      </c>
      <c r="H4" s="9">
        <v>108765</v>
      </c>
      <c r="I4" s="20">
        <f>G4/(B4+C4+H4+D4+E4+F4)</f>
        <v>0.0594499907272924</v>
      </c>
    </row>
    <row r="5" s="1" customFormat="1" ht="33" customHeight="1" spans="1:22">
      <c r="A5" s="8" t="s">
        <v>38</v>
      </c>
      <c r="B5" s="9">
        <v>485903</v>
      </c>
      <c r="C5" s="9">
        <v>103323</v>
      </c>
      <c r="D5" s="10"/>
      <c r="E5" s="10"/>
      <c r="F5" s="10">
        <v>1396</v>
      </c>
      <c r="G5" s="13">
        <v>14988</v>
      </c>
      <c r="H5" s="9">
        <v>31552</v>
      </c>
      <c r="I5" s="20">
        <f t="shared" ref="I5:I14" si="0">G5/(B5+C5+H5+D5+E5+F5)</f>
        <v>0.0240897240964746</v>
      </c>
    </row>
    <row r="6" s="1" customFormat="1" ht="33" customHeight="1" spans="1:22">
      <c r="A6" s="8" t="s">
        <v>39</v>
      </c>
      <c r="B6" s="9">
        <v>535567</v>
      </c>
      <c r="C6" s="9">
        <v>185075</v>
      </c>
      <c r="D6" s="10"/>
      <c r="E6" s="10"/>
      <c r="F6" s="10">
        <v>4081</v>
      </c>
      <c r="G6" s="13">
        <v>7608</v>
      </c>
      <c r="H6" s="9">
        <v>56180</v>
      </c>
      <c r="I6" s="20">
        <f t="shared" si="0"/>
        <v>0.00974256725867361</v>
      </c>
    </row>
    <row r="7" s="1" customFormat="1" ht="33" customHeight="1" spans="1:22">
      <c r="A7" s="8" t="s">
        <v>40</v>
      </c>
      <c r="B7" s="9">
        <v>453007</v>
      </c>
      <c r="C7" s="9">
        <v>165125</v>
      </c>
      <c r="D7" s="10">
        <v>56611</v>
      </c>
      <c r="E7" s="10">
        <v>62661</v>
      </c>
      <c r="F7" s="10">
        <v>4141</v>
      </c>
      <c r="G7" s="16">
        <v>10370</v>
      </c>
      <c r="H7" s="9">
        <v>34512</v>
      </c>
      <c r="I7" s="20">
        <f t="shared" si="0"/>
        <v>0.0133624205438518</v>
      </c>
    </row>
    <row r="8" s="1" customFormat="1" ht="33" customHeight="1" spans="1:22">
      <c r="A8" s="8" t="s">
        <v>158</v>
      </c>
      <c r="B8" s="9">
        <v>405558</v>
      </c>
      <c r="C8" s="9">
        <v>148560</v>
      </c>
      <c r="D8" s="10">
        <v>65599</v>
      </c>
      <c r="E8" s="10">
        <v>123841</v>
      </c>
      <c r="F8" s="10">
        <v>3298</v>
      </c>
      <c r="G8" s="16">
        <v>17214</v>
      </c>
      <c r="H8" s="9">
        <v>58176</v>
      </c>
      <c r="I8" s="20">
        <f t="shared" si="0"/>
        <v>0.0213830009241869</v>
      </c>
    </row>
    <row r="9" s="1" customFormat="1" ht="33" customHeight="1" spans="1:22">
      <c r="A9" s="8" t="s">
        <v>159</v>
      </c>
      <c r="B9" s="9">
        <f>424141+2083</f>
        <v>426224</v>
      </c>
      <c r="C9" s="9">
        <v>126888</v>
      </c>
      <c r="D9" s="10">
        <v>151829</v>
      </c>
      <c r="E9" s="10">
        <v>132356</v>
      </c>
      <c r="F9" s="10">
        <v>2083</v>
      </c>
      <c r="G9" s="16">
        <v>7462</v>
      </c>
      <c r="H9" s="9">
        <v>55605</v>
      </c>
      <c r="I9" s="20">
        <f t="shared" si="0"/>
        <v>0.0083375699034062</v>
      </c>
    </row>
    <row r="10" s="1" customFormat="1" ht="33" customHeight="1" spans="1:22">
      <c r="A10" s="8" t="s">
        <v>160</v>
      </c>
      <c r="B10" s="9">
        <v>444399</v>
      </c>
      <c r="C10" s="9">
        <v>135470</v>
      </c>
      <c r="D10" s="10">
        <v>161096</v>
      </c>
      <c r="E10" s="10">
        <v>131887</v>
      </c>
      <c r="F10" s="10">
        <v>2546</v>
      </c>
      <c r="G10" s="16">
        <v>14158</v>
      </c>
      <c r="H10" s="9">
        <v>45048</v>
      </c>
      <c r="I10" s="20">
        <f t="shared" si="0"/>
        <v>0.0153816736668963</v>
      </c>
    </row>
    <row r="11" s="1" customFormat="1" ht="33" customHeight="1" spans="1:22">
      <c r="A11" s="8" t="s">
        <v>161</v>
      </c>
      <c r="B11" s="9">
        <v>439250</v>
      </c>
      <c r="C11" s="9">
        <v>105788</v>
      </c>
      <c r="D11" s="10">
        <v>137247</v>
      </c>
      <c r="E11" s="10">
        <v>138606</v>
      </c>
      <c r="F11" s="10">
        <v>3785</v>
      </c>
      <c r="G11" s="16">
        <v>9361</v>
      </c>
      <c r="H11" s="9">
        <v>57248</v>
      </c>
      <c r="I11" s="20">
        <f t="shared" si="0"/>
        <v>0.0106142932951139</v>
      </c>
      <c r="M11" s="1">
        <v>10000</v>
      </c>
    </row>
    <row r="12" s="1" customFormat="1" ht="33" customHeight="1" spans="1:22">
      <c r="A12" s="8" t="s">
        <v>162</v>
      </c>
      <c r="B12" s="9">
        <f>458962+2771</f>
        <v>461733</v>
      </c>
      <c r="C12" s="9">
        <v>169808</v>
      </c>
      <c r="D12" s="10">
        <v>128924</v>
      </c>
      <c r="E12" s="10">
        <v>99955</v>
      </c>
      <c r="F12" s="10">
        <v>2771</v>
      </c>
      <c r="G12" s="14">
        <v>10379</v>
      </c>
      <c r="H12" s="9">
        <v>79300</v>
      </c>
      <c r="I12" s="20">
        <f t="shared" si="0"/>
        <v>0.0110123067488178</v>
      </c>
      <c r="M12" s="1">
        <v>2000</v>
      </c>
      <c r="N12" s="1">
        <v>3000</v>
      </c>
    </row>
    <row r="13" s="1" customFormat="1" ht="33" customHeight="1" spans="1:22">
      <c r="A13" s="8" t="s">
        <v>163</v>
      </c>
      <c r="B13" s="9">
        <v>465952</v>
      </c>
      <c r="C13" s="9">
        <v>136170</v>
      </c>
      <c r="D13" s="9">
        <v>109706</v>
      </c>
      <c r="E13" s="9">
        <v>141603</v>
      </c>
      <c r="F13" s="9">
        <v>2388</v>
      </c>
      <c r="G13" s="9">
        <v>5529</v>
      </c>
      <c r="H13" s="9">
        <v>90371</v>
      </c>
      <c r="I13" s="20">
        <f t="shared" si="0"/>
        <v>0.00584343525084814</v>
      </c>
    </row>
    <row r="14" s="1" customFormat="1" ht="33" customHeight="1" spans="1:22">
      <c r="A14" s="8" t="s">
        <v>164</v>
      </c>
      <c r="B14" s="9">
        <v>463117</v>
      </c>
      <c r="C14" s="9">
        <v>94200</v>
      </c>
      <c r="D14" s="9">
        <v>175738</v>
      </c>
      <c r="E14" s="9">
        <v>142807</v>
      </c>
      <c r="F14" s="9">
        <v>2443</v>
      </c>
      <c r="G14" s="9">
        <v>4409</v>
      </c>
      <c r="H14" s="9">
        <v>46258</v>
      </c>
      <c r="I14" s="20">
        <f t="shared" si="0"/>
        <v>0.00476873939363786</v>
      </c>
    </row>
    <row r="15" s="1" customFormat="1" ht="33" customHeight="1" spans="1:22">
      <c r="A15" s="17" t="s">
        <v>82</v>
      </c>
      <c r="B15" s="9"/>
      <c r="C15" s="9"/>
      <c r="D15" s="18"/>
      <c r="E15" s="18"/>
      <c r="F15" s="18"/>
      <c r="G15" s="18">
        <f>SUM(G4:G14)</f>
        <v>133855</v>
      </c>
      <c r="H15" s="18">
        <f>SUM(H3:H14)</f>
        <v>825556</v>
      </c>
      <c r="I15" s="21">
        <f>G15/(B14+C14+D14+E14+H15+F14)</f>
        <v>0.0785598120973483</v>
      </c>
      <c r="M15" s="1">
        <v>200</v>
      </c>
    </row>
    <row r="16" ht="27" customHeight="1" spans="1:22">
      <c r="A16" s="22">
        <v>45627</v>
      </c>
      <c r="B16" s="19">
        <v>403896</v>
      </c>
      <c r="C16" s="19">
        <v>151097</v>
      </c>
      <c r="I16" s="23">
        <f>G15/(B16+C16+B17+H15)</f>
        <v>0.0508445733564636</v>
      </c>
    </row>
    <row r="17" ht="28" customHeight="1" spans="1:3">
      <c r="A17" s="19" t="s">
        <v>230</v>
      </c>
      <c r="B17" s="19">
        <v>1252082</v>
      </c>
      <c r="C17" s="19"/>
    </row>
    <row r="18" spans="1:3">
      <c r="A18" s="19"/>
      <c r="B18" s="19"/>
      <c r="C18" s="19"/>
    </row>
  </sheetData>
  <mergeCells count="1">
    <mergeCell ref="A1:I1"/>
  </mergeCells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workbookViewId="0">
      <selection activeCell="C12" sqref="C12"/>
    </sheetView>
  </sheetViews>
  <sheetFormatPr defaultColWidth="9" defaultRowHeight="14.4"/>
  <cols>
    <col min="1" max="6" width="18.25" style="1" customWidth="1"/>
    <col min="7" max="7" width="9" style="1"/>
    <col min="8" max="8" width="14.5" style="1" customWidth="1"/>
    <col min="9" max="9" width="12.625" style="1"/>
    <col min="10" max="16384" width="9" style="1"/>
  </cols>
  <sheetData>
    <row r="1" s="1" customFormat="1" ht="46" customHeight="1" spans="1:22">
      <c r="A1" s="2" t="s">
        <v>231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1" customFormat="1" ht="33" customHeight="1" spans="1:22">
      <c r="A2" s="4" t="s">
        <v>1</v>
      </c>
      <c r="B2" s="5" t="s">
        <v>222</v>
      </c>
      <c r="C2" s="5" t="s">
        <v>223</v>
      </c>
      <c r="D2" s="6" t="s">
        <v>224</v>
      </c>
      <c r="E2" s="6" t="s">
        <v>225</v>
      </c>
      <c r="F2" s="6" t="s">
        <v>226</v>
      </c>
      <c r="G2" s="7" t="s">
        <v>227</v>
      </c>
      <c r="H2" s="7" t="s">
        <v>228</v>
      </c>
      <c r="I2" s="7" t="s">
        <v>229</v>
      </c>
    </row>
    <row r="3" s="1" customFormat="1" ht="33" customHeight="1" spans="1:22">
      <c r="A3" s="8" t="s">
        <v>36</v>
      </c>
      <c r="B3" s="9">
        <v>308015</v>
      </c>
      <c r="C3" s="9">
        <v>128668</v>
      </c>
      <c r="D3" s="10">
        <v>175534</v>
      </c>
      <c r="E3" s="10">
        <v>140885</v>
      </c>
      <c r="F3" s="10">
        <v>4432</v>
      </c>
      <c r="G3" s="11">
        <v>1817</v>
      </c>
      <c r="H3" s="9">
        <v>185678</v>
      </c>
      <c r="I3" s="12">
        <f>SUM(G3)/(B3+C3+H3+D3+E3+F3)</f>
        <v>0.00192639618664733</v>
      </c>
    </row>
    <row r="4" s="1" customFormat="1" ht="33" customHeight="1" spans="1:22">
      <c r="A4" s="8" t="s">
        <v>37</v>
      </c>
      <c r="B4" s="9">
        <v>204993</v>
      </c>
      <c r="C4" s="9">
        <v>108829</v>
      </c>
      <c r="D4" s="10">
        <v>146405</v>
      </c>
      <c r="E4" s="10">
        <v>139593</v>
      </c>
      <c r="F4" s="10">
        <v>1371</v>
      </c>
      <c r="G4" s="13">
        <v>12155</v>
      </c>
      <c r="H4" s="9">
        <v>216808</v>
      </c>
      <c r="I4" s="12">
        <f>SUM(G4)/(B4+C4+H4+D4+E4+F4)</f>
        <v>0.014859431368498</v>
      </c>
    </row>
    <row r="5" s="1" customFormat="1" ht="33" customHeight="1" spans="1:22">
      <c r="A5" s="8" t="s">
        <v>38</v>
      </c>
      <c r="B5" s="9">
        <v>343616</v>
      </c>
      <c r="C5" s="9">
        <v>30317</v>
      </c>
      <c r="D5" s="10">
        <v>239693</v>
      </c>
      <c r="E5" s="10">
        <v>109121</v>
      </c>
      <c r="F5" s="10">
        <v>2456</v>
      </c>
      <c r="G5" s="13">
        <v>24825</v>
      </c>
      <c r="H5" s="9">
        <v>66904</v>
      </c>
      <c r="I5" s="12">
        <f>SUM(G5)/(B5+C5+H5+D5+E5+F5)</f>
        <v>0.03134046284151</v>
      </c>
    </row>
    <row r="6" s="1" customFormat="1" ht="33" customHeight="1" spans="1:22">
      <c r="A6" s="8" t="s">
        <v>39</v>
      </c>
      <c r="B6" s="14">
        <v>307913</v>
      </c>
      <c r="C6" s="14">
        <v>103303</v>
      </c>
      <c r="D6" s="15">
        <v>206217</v>
      </c>
      <c r="E6" s="15">
        <v>168524</v>
      </c>
      <c r="F6" s="10">
        <v>2915</v>
      </c>
      <c r="G6" s="13">
        <v>16905</v>
      </c>
      <c r="H6" s="9">
        <v>124350</v>
      </c>
      <c r="I6" s="12">
        <f t="shared" ref="I6:I14" si="0">SUM(G6)/(B6+C6+H6+D6+E6+F6)</f>
        <v>0.0185113805843486</v>
      </c>
    </row>
    <row r="7" s="1" customFormat="1" ht="33" customHeight="1" spans="1:22">
      <c r="A7" s="8" t="s">
        <v>40</v>
      </c>
      <c r="B7" s="9"/>
      <c r="C7" s="9">
        <v>136079</v>
      </c>
      <c r="D7" s="10">
        <v>184362</v>
      </c>
      <c r="E7" s="10">
        <v>163540</v>
      </c>
      <c r="F7" s="10">
        <v>2408</v>
      </c>
      <c r="G7" s="16">
        <v>12091</v>
      </c>
      <c r="H7" s="9">
        <v>47856</v>
      </c>
      <c r="I7" s="12">
        <f t="shared" si="0"/>
        <v>0.0226319385300752</v>
      </c>
    </row>
    <row r="8" s="1" customFormat="1" ht="33" customHeight="1" spans="1:22">
      <c r="A8" s="8" t="s">
        <v>158</v>
      </c>
      <c r="B8" s="9"/>
      <c r="C8" s="9"/>
      <c r="D8" s="10"/>
      <c r="E8" s="10"/>
      <c r="F8" s="10"/>
      <c r="G8" s="16"/>
      <c r="H8" s="9"/>
      <c r="I8" s="12" t="e">
        <f t="shared" si="0"/>
        <v>#DIV/0!</v>
      </c>
    </row>
    <row r="9" s="1" customFormat="1" ht="33" customHeight="1" spans="1:22">
      <c r="A9" s="8" t="s">
        <v>159</v>
      </c>
      <c r="B9" s="9"/>
      <c r="C9" s="9"/>
      <c r="D9" s="10"/>
      <c r="E9" s="10"/>
      <c r="F9" s="10"/>
      <c r="G9" s="16"/>
      <c r="H9" s="9"/>
      <c r="I9" s="12" t="e">
        <f t="shared" si="0"/>
        <v>#DIV/0!</v>
      </c>
    </row>
    <row r="10" s="1" customFormat="1" ht="33" customHeight="1" spans="1:22">
      <c r="A10" s="8" t="s">
        <v>160</v>
      </c>
      <c r="B10" s="9"/>
      <c r="C10" s="9"/>
      <c r="D10" s="10"/>
      <c r="E10" s="10"/>
      <c r="F10" s="10"/>
      <c r="G10" s="16"/>
      <c r="H10" s="9"/>
      <c r="I10" s="12" t="e">
        <f t="shared" si="0"/>
        <v>#DIV/0!</v>
      </c>
    </row>
    <row r="11" s="1" customFormat="1" ht="33" customHeight="1" spans="1:22">
      <c r="A11" s="8" t="s">
        <v>161</v>
      </c>
      <c r="B11" s="9"/>
      <c r="C11" s="9"/>
      <c r="D11" s="10"/>
      <c r="E11" s="10"/>
      <c r="F11" s="10"/>
      <c r="G11" s="16"/>
      <c r="H11" s="9"/>
      <c r="I11" s="12" t="e">
        <f t="shared" si="0"/>
        <v>#DIV/0!</v>
      </c>
    </row>
    <row r="12" s="1" customFormat="1" ht="33" customHeight="1" spans="1:22">
      <c r="A12" s="8" t="s">
        <v>162</v>
      </c>
      <c r="B12" s="9"/>
      <c r="C12" s="9"/>
      <c r="D12" s="10"/>
      <c r="E12" s="10"/>
      <c r="F12" s="10"/>
      <c r="G12" s="14"/>
      <c r="H12" s="9"/>
      <c r="I12" s="12" t="e">
        <f t="shared" si="0"/>
        <v>#DIV/0!</v>
      </c>
    </row>
    <row r="13" s="1" customFormat="1" ht="33" customHeight="1" spans="1:22">
      <c r="A13" s="8" t="s">
        <v>163</v>
      </c>
      <c r="B13" s="9"/>
      <c r="C13" s="9"/>
      <c r="D13" s="9"/>
      <c r="E13" s="9"/>
      <c r="F13" s="9"/>
      <c r="G13" s="9"/>
      <c r="H13" s="9"/>
      <c r="I13" s="12" t="e">
        <f t="shared" si="0"/>
        <v>#DIV/0!</v>
      </c>
    </row>
    <row r="14" s="1" customFormat="1" ht="33" customHeight="1" spans="1:22">
      <c r="A14" s="8" t="s">
        <v>164</v>
      </c>
      <c r="B14" s="9"/>
      <c r="C14" s="9"/>
      <c r="D14" s="9"/>
      <c r="E14" s="9"/>
      <c r="F14" s="9"/>
      <c r="G14" s="9"/>
      <c r="H14" s="9"/>
      <c r="I14" s="12" t="e">
        <f t="shared" si="0"/>
        <v>#DIV/0!</v>
      </c>
    </row>
    <row r="15" s="1" customFormat="1" ht="33" customHeight="1" spans="1:22">
      <c r="A15" s="17" t="s">
        <v>82</v>
      </c>
      <c r="B15" s="18"/>
      <c r="C15" s="18"/>
      <c r="D15" s="18"/>
      <c r="E15" s="18"/>
      <c r="F15" s="18"/>
      <c r="G15" s="18">
        <f>SUM(G4:G14)</f>
        <v>65976</v>
      </c>
      <c r="H15" s="18">
        <f>SUM(H3:H14)</f>
        <v>641596</v>
      </c>
      <c r="I15" s="12"/>
    </row>
  </sheetData>
  <mergeCells count="1">
    <mergeCell ref="A1:I1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新25年新历销售</vt:lpstr>
      <vt:lpstr>新25年农历销售</vt:lpstr>
      <vt:lpstr>26年新历销售</vt:lpstr>
      <vt:lpstr>26年农历销售</vt:lpstr>
      <vt:lpstr>进货验货报告</vt:lpstr>
      <vt:lpstr>26数据</vt:lpstr>
      <vt:lpstr>生产</vt:lpstr>
      <vt:lpstr>24年农历销售</vt:lpstr>
      <vt:lpstr>24年新历销售</vt:lpstr>
      <vt:lpstr>25年新历销售</vt:lpstr>
      <vt:lpstr>25年农历销售</vt:lpstr>
      <vt:lpstr>25年淘汰</vt:lpstr>
      <vt:lpstr>26年淘汰</vt:lpstr>
      <vt:lpstr>24年淘汰</vt:lpstr>
      <vt:lpstr>22年淘汰</vt:lpstr>
      <vt:lpstr>23年淘汰</vt:lpstr>
      <vt:lpstr>24年销售</vt:lpstr>
      <vt:lpstr>2025年淘汰</vt:lpstr>
      <vt:lpstr>2026年淘汰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陳俞帆</cp:lastModifiedBy>
  <dcterms:created xsi:type="dcterms:W3CDTF">2016-12-02T08:54:00Z</dcterms:created>
  <dcterms:modified xsi:type="dcterms:W3CDTF">2026-06-13T07:19:51Z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756F5396DDF94F35B0EE140DFB0FEEB1_13</vt:lpwstr>
  </property>
  <property fmtid="{D5CDD505-2E9C-101B-9397-08002B2CF9AE}" pid="4" name="CalculationRule">
    <vt:i4>0</vt:i4>
  </property>
</Properties>
</file>